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8.xml" ContentType="application/vnd.openxmlformats-officedocument.spreadsheetml.comment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13.xml" ContentType="application/vnd.openxmlformats-officedocument.spreadsheetml.comments+xml"/>
  <Override PartName="/xl/comments12.xml" ContentType="application/vnd.openxmlformats-officedocument.spreadsheetml.comments+xml"/>
  <Override PartName="/xl/drawings/vmlDrawing14.vml" ContentType="application/vnd.openxmlformats-officedocument.vmlDrawing"/>
  <Override PartName="/xl/drawings/vmlDrawing8.vml" ContentType="application/vnd.openxmlformats-officedocument.vmlDrawing"/>
  <Override PartName="/xl/drawings/vmlDrawing13.vml" ContentType="application/vnd.openxmlformats-officedocument.vmlDrawing"/>
  <Override PartName="/xl/drawings/vmlDrawing7.vml" ContentType="application/vnd.openxmlformats-officedocument.vmlDrawing"/>
  <Override PartName="/xl/drawings/vmlDrawing12.vml" ContentType="application/vnd.openxmlformats-officedocument.vmlDrawing"/>
  <Override PartName="/xl/drawings/vmlDrawing6.vml" ContentType="application/vnd.openxmlformats-officedocument.vmlDrawing"/>
  <Override PartName="/xl/drawings/drawing3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vmlDrawing3.vml" ContentType="application/vnd.openxmlformats-officedocument.vmlDrawing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vmlDrawing11.vml" ContentType="application/vnd.openxmlformats-officedocument.vmlDrawing"/>
  <Override PartName="/xl/drawings/vmlDrawing5.vml" ContentType="application/vnd.openxmlformats-officedocument.vmlDrawing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18.xml" ContentType="application/vnd.openxmlformats-officedocument.drawing+xml"/>
  <Override PartName="/xl/drawings/drawing9.xml" ContentType="application/vnd.openxmlformats-officedocument.drawing+xml"/>
  <Override PartName="/xl/drawings/drawing19.xml" ContentType="application/vnd.openxmlformats-officedocument.drawing+xml"/>
  <Override PartName="/xl/drawings/vmlDrawing2.vml" ContentType="application/vnd.openxmlformats-officedocument.vmlDrawing"/>
  <Override PartName="/xl/drawings/drawing21.xml" ContentType="application/vnd.openxmlformats-officedocument.drawing+xml"/>
  <Override PartName="/xl/drawings/vmlDrawing4.vml" ContentType="application/vnd.openxmlformats-officedocument.vmlDrawing"/>
  <Override PartName="/xl/drawings/vmlDrawing10.vml" ContentType="application/vnd.openxmlformats-officedocument.vmlDrawing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vmlDrawing1.vml" ContentType="application/vnd.openxmlformats-officedocument.vmlDrawing"/>
  <Override PartName="/xl/drawings/drawing11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vmlDrawing9.vml" ContentType="application/vnd.openxmlformats-officedocument.vmlDrawing"/>
  <Override PartName="/xl/drawings/vmlDrawing15.vml" ContentType="application/vnd.openxmlformats-officedocument.vmlDrawing"/>
  <Override PartName="/xl/comments24.xml" ContentType="application/vnd.openxmlformats-officedocument.spreadsheetml.comments+xml"/>
  <Override PartName="/xl/comments11.xml" ContentType="application/vnd.openxmlformats-officedocument.spreadsheetml.comments+xml"/>
  <Override PartName="/xl/comments7.xml" ContentType="application/vnd.openxmlformats-officedocument.spreadsheetml.comments+xml"/>
  <Override PartName="/xl/comments19.xml" ContentType="application/vnd.openxmlformats-officedocument.spreadsheetml.comment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4.xml.rels" ContentType="application/vnd.openxmlformats-package.relationships+xml"/>
  <Override PartName="/xl/worksheets/_rels/sheet2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23.xml.rels" ContentType="application/vnd.openxmlformats-package.relationships+xml"/>
  <Override PartName="/xl/worksheets/_rels/sheet6.xml.rels" ContentType="application/vnd.openxmlformats-package.relationships+xml"/>
  <Override PartName="/xl/worksheets/_rels/sheet24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2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Architecture Overview" sheetId="3" state="visible" r:id="rId5"/>
    <sheet name="Object Inventory" sheetId="4" state="visible" r:id="rId6"/>
    <sheet name="Applications" sheetId="5" state="visible" r:id="rId7"/>
    <sheet name="Tables" sheetId="6" state="visible" r:id="rId8"/>
    <sheet name="Fields" sheetId="7" state="visible" r:id="rId9"/>
    <sheet name="Catalog Items" sheetId="8" state="visible" r:id="rId10"/>
    <sheet name="Variables" sheetId="9" state="visible" r:id="rId11"/>
    <sheet name="Flows" sheetId="10" state="visible" r:id="rId12"/>
    <sheet name="Scripts &amp; Rules" sheetId="11" state="visible" r:id="rId13"/>
    <sheet name="Integrations" sheetId="12" state="visible" r:id="rId14"/>
    <sheet name="Security" sheetId="13" state="visible" r:id="rId15"/>
    <sheet name="Business Processes" sheetId="14" state="visible" r:id="rId16"/>
    <sheet name="Dependencies" sheetId="15" state="visible" r:id="rId17"/>
    <sheet name="Impact Check" sheetId="16" state="visible" r:id="rId18"/>
    <sheet name="Risks" sheetId="17" state="visible" r:id="rId19"/>
    <sheet name="Unknowns" sheetId="18" state="visible" r:id="rId20"/>
    <sheet name="Decisions" sheetId="19" state="visible" r:id="rId21"/>
    <sheet name="Change History" sheetId="20" state="visible" r:id="rId22"/>
    <sheet name="30-Day Plan" sheetId="21" state="visible" r:id="rId23"/>
    <sheet name="Access Matrix" sheetId="22" state="visible" r:id="rId24"/>
    <sheet name="Access Roadmap" sheetId="23" state="visible" r:id="rId25"/>
    <sheet name="Responsibility Modes" sheetId="24" state="visible" r:id="rId26"/>
    <sheet name="Transition Checklist" sheetId="25" state="visible" r:id="rId27"/>
    <sheet name="Reference Lists" sheetId="26" state="visible" r:id="rId28"/>
  </sheets>
  <definedNames>
    <definedName function="false" hidden="true" localSheetId="20" name="_xlnm._FilterDatabase" vbProcedure="false">'30-Day Plan'!$A$2:$J$502</definedName>
    <definedName function="false" hidden="true" localSheetId="21" name="_xlnm._FilterDatabase" vbProcedure="false">'Access Matrix'!$A$2:$F$502</definedName>
    <definedName function="false" hidden="true" localSheetId="22" name="_xlnm._FilterDatabase" vbProcedure="false">'Access Roadmap'!$A$2:$K$502</definedName>
    <definedName function="false" hidden="true" localSheetId="4" name="_xlnm._FilterDatabase" vbProcedure="false">Applications!$A$2:$T$502</definedName>
    <definedName function="false" hidden="true" localSheetId="13" name="_xlnm._FilterDatabase" vbProcedure="false">'Business Processes'!$A$2:$AH$502</definedName>
    <definedName function="false" hidden="true" localSheetId="7" name="_xlnm._FilterDatabase" vbProcedure="false">'Catalog Items'!$A$2:$AG$502</definedName>
    <definedName function="false" hidden="true" localSheetId="19" name="_xlnm._FilterDatabase" vbProcedure="false">'Change History'!$A$2:$O$502</definedName>
    <definedName function="false" hidden="true" localSheetId="18" name="_xlnm._FilterDatabase" vbProcedure="false">Decisions!$A$2:$Q$502</definedName>
    <definedName function="false" hidden="true" localSheetId="14" name="_xlnm._FilterDatabase" vbProcedure="false">Dependencies!$A$2:$Q$502</definedName>
    <definedName function="false" hidden="true" localSheetId="6" name="_xlnm._FilterDatabase" vbProcedure="false">Fields!$A$2:$AB$502</definedName>
    <definedName function="false" hidden="true" localSheetId="9" name="_xlnm._FilterDatabase" vbProcedure="false">Flows!$A$2:$AN$502</definedName>
    <definedName function="false" hidden="true" localSheetId="11" name="_xlnm._FilterDatabase" vbProcedure="false">Integrations!$A$2:$AI$502</definedName>
    <definedName function="false" hidden="true" localSheetId="3" name="_xlnm._FilterDatabase" vbProcedure="false">'Object Inventory'!$A$2:$X$502</definedName>
    <definedName function="false" hidden="true" localSheetId="23" name="_xlnm._FilterDatabase" vbProcedure="false">'Responsibility Modes'!$A$2:$H$502</definedName>
    <definedName function="false" hidden="true" localSheetId="16" name="_xlnm._FilterDatabase" vbProcedure="false">Risks!$A$2:$R$502</definedName>
    <definedName function="false" hidden="true" localSheetId="10" name="_xlnm._FilterDatabase" vbProcedure="false">'Scripts &amp; Rules'!$A$2:$AF$502</definedName>
    <definedName function="false" hidden="true" localSheetId="12" name="_xlnm._FilterDatabase" vbProcedure="false">Security!$A$2:$AB$502</definedName>
    <definedName function="false" hidden="true" localSheetId="5" name="_xlnm._FilterDatabase" vbProcedure="false">Tables!$A$2:$BD$502</definedName>
    <definedName function="false" hidden="true" localSheetId="24" name="_xlnm._FilterDatabase" vbProcedure="false">'Transition Checklist'!$A$2:$H$502</definedName>
    <definedName function="false" hidden="true" localSheetId="17" name="_xlnm._FilterDatabase" vbProcedure="false">Unknowns!$A$2:$O$502</definedName>
    <definedName function="false" hidden="true" localSheetId="8" name="_xlnm._FilterDatabase" vbProcedure="false">Variables!$A$2:$W$502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Which business process breaks if this stops working? Use the Process Name from the Business Processes sheet.</t>
        </r>
      </text>
    </comment>
    <comment ref="I2" authorId="0">
      <text>
        <r>
          <rPr>
            <sz val="10"/>
            <rFont val="Arial"/>
            <family val="2"/>
          </rPr>
          <t xml:space="preserve">Person accountable for the business outcome. If unknown, leave blank (dashboard counts it) and log an Unknown.</t>
        </r>
      </text>
    </comment>
    <comment ref="J2" authorId="0">
      <text>
        <r>
          <rPr>
            <sz val="10"/>
            <rFont val="Arial"/>
            <family val="2"/>
          </rPr>
          <t xml:space="preserve">Person accountable for keeping it working technically. Blank is a risk, not an error.</t>
        </r>
      </text>
    </comment>
    <comment ref="M2" authorId="0">
      <text>
        <r>
          <rPr>
            <sz val="10"/>
            <rFont val="Arial"/>
            <family val="2"/>
          </rPr>
          <t xml:space="preserve">OOTB = untouched out-of-box. Customized OOTB = OOTB object modified (upgrade risk). Custom = built here. Check the record's update/customization indicators and scope.</t>
        </r>
      </text>
    </comment>
    <comment ref="N2" authorId="0">
      <text>
        <r>
          <rPr>
            <sz val="10"/>
            <rFont val="Arial"/>
            <family val="2"/>
          </rPr>
          <t xml:space="preserve">Critical = a business process stops or there is compliance/safety impact if this fails. High = major degradation. Medium = workaround exists. Low = minor/cosmetic.</t>
        </r>
      </text>
    </comment>
    <comment ref="O2" authorId="0">
      <text>
        <r>
          <rPr>
            <sz val="10"/>
            <rFont val="Arial"/>
            <family val="2"/>
          </rPr>
          <t xml:space="preserve">Not Started -&gt; Discovered (you know it exists) -&gt; Partially Documented -&gt; Documented (template complete) -&gt; Validated (SME or direct verification) -&gt; Needs Update (platform changed).</t>
        </r>
      </text>
    </comment>
    <comment ref="P2" authorId="0">
      <text>
        <r>
          <rPr>
            <sz val="10"/>
            <rFont val="Arial"/>
            <family val="2"/>
          </rPr>
          <t xml:space="preserve">High = verified directly in ServiceNow. Medium = strongly supported but not fully verified. Low = inferred, needs validation. Unknown = not looked at yet.</t>
        </r>
      </text>
    </comment>
    <comment ref="Q2" authorId="0">
      <text>
        <r>
          <rPr>
            <sz val="10"/>
            <rFont val="Arial"/>
            <family val="2"/>
          </rPr>
          <t xml:space="preserve">What this object needs to work. Also add rows on the Dependencies sheet - that sheet drives Impact Check.</t>
        </r>
      </text>
    </comment>
    <comment ref="R2" authorId="0">
      <text>
        <r>
          <rPr>
            <sz val="10"/>
            <rFont val="Arial"/>
            <family val="2"/>
          </rPr>
          <t xml:space="preserve">What relies on this object. This is the 'what breaks if I change it' list.</t>
        </r>
      </text>
    </comment>
    <comment ref="T2" authorId="0">
      <text>
        <r>
          <rPr>
            <sz val="10"/>
            <rFont val="Arial"/>
            <family val="2"/>
          </rPr>
          <t xml:space="preserve">Date you last compared this row against the live platform (ServiceNow wins if they disagree).</t>
        </r>
      </text>
    </comment>
    <comment ref="U2" authorId="0">
      <text>
        <r>
          <rPr>
            <sz val="10"/>
            <rFont val="Arial"/>
            <family val="2"/>
          </rPr>
          <t xml:space="preserve">Lowest access level that lets you VERIFY this item. If you cannot verify it at your current access, leave Confidence at Low/Unknown and use this column as evidence for an access request.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Person accountable for the business outcome. If unknown, leave blank (dashboard counts it) and log an Unknown.</t>
        </r>
      </text>
    </comment>
    <comment ref="I2" authorId="0">
      <text>
        <r>
          <rPr>
            <sz val="10"/>
            <rFont val="Arial"/>
            <family val="2"/>
          </rPr>
          <t xml:space="preserve">Person accountable for keeping it working technically. Blank is a risk, not an error.</t>
        </r>
      </text>
    </comment>
    <comment ref="N2" authorId="0">
      <text>
        <r>
          <rPr>
            <sz val="10"/>
            <rFont val="Arial"/>
            <family val="2"/>
          </rPr>
          <t xml:space="preserve">Critical = a business process stops or there is compliance/safety impact if this fails. High = major degradation. Medium = workaround exists. Low = minor/cosmetic.</t>
        </r>
      </text>
    </comment>
    <comment ref="O2" authorId="0">
      <text>
        <r>
          <rPr>
            <sz val="10"/>
            <rFont val="Arial"/>
            <family val="2"/>
          </rPr>
          <t xml:space="preserve">Not Started -&gt; Discovered (you know it exists) -&gt; Partially Documented -&gt; Documented (template complete) -&gt; Validated (SME or direct verification) -&gt; Needs Update (platform changed).</t>
        </r>
      </text>
    </comment>
    <comment ref="P2" authorId="0">
      <text>
        <r>
          <rPr>
            <sz val="10"/>
            <rFont val="Arial"/>
            <family val="2"/>
          </rPr>
          <t xml:space="preserve">High = verified directly in ServiceNow. Medium = strongly supported but not fully verified. Low = inferred, needs validation. Unknown = not looked at yet.</t>
        </r>
      </text>
    </comment>
    <comment ref="Q2" authorId="0">
      <text>
        <r>
          <rPr>
            <sz val="10"/>
            <rFont val="Arial"/>
            <family val="2"/>
          </rPr>
          <t xml:space="preserve">Where you saw it: record URL or sys_id, screenshot, SME name + date, ticket number. If you cannot point to it, it is not High confidence.</t>
        </r>
      </text>
    </comment>
    <comment ref="R2" authorId="0">
      <text>
        <r>
          <rPr>
            <sz val="10"/>
            <rFont val="Arial"/>
            <family val="2"/>
          </rPr>
          <t xml:space="preserve">Lowest access level that lets you VERIFY this item. If you cannot verify it at your current access, leave Confidence at Low/Unknown and use this column as evidence for an access request.</t>
        </r>
      </text>
    </comment>
    <comment ref="S2" authorId="0">
      <text>
        <r>
          <rPr>
            <sz val="10"/>
            <rFont val="Arial"/>
            <family val="2"/>
          </rPr>
          <t xml:space="preserve">Date you last compared this row against the live platform (ServiceNow wins if they disagree).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2" authorId="0">
      <text>
        <r>
          <rPr>
            <sz val="10"/>
            <rFont val="Arial"/>
            <family val="2"/>
          </rPr>
          <t xml:space="preserve">Which business process breaks if this stops working? Use the Process Name from the Business Processes sheet.</t>
        </r>
      </text>
    </comment>
    <comment ref="J2" authorId="0">
      <text>
        <r>
          <rPr>
            <sz val="10"/>
            <rFont val="Arial"/>
            <family val="2"/>
          </rPr>
          <t xml:space="preserve">Person accountable for the business outcome. If unknown, leave blank (dashboard counts it) and log an Unknown.</t>
        </r>
      </text>
    </comment>
    <comment ref="K2" authorId="0">
      <text>
        <r>
          <rPr>
            <sz val="10"/>
            <rFont val="Arial"/>
            <family val="2"/>
          </rPr>
          <t xml:space="preserve">Person accountable for keeping it working technically. Blank is a risk, not an error.</t>
        </r>
      </text>
    </comment>
    <comment ref="AQ2" authorId="0">
      <text>
        <r>
          <rPr>
            <sz val="10"/>
            <rFont val="Arial"/>
            <family val="2"/>
          </rPr>
          <t xml:space="preserve">OOTB = untouched out-of-box. Customized OOTB = OOTB object modified (upgrade risk). Custom = built here. Check the record's update/customization indicators and scope.</t>
        </r>
      </text>
    </comment>
    <comment ref="AV2" authorId="0">
      <text>
        <r>
          <rPr>
            <sz val="10"/>
            <rFont val="Arial"/>
            <family val="2"/>
          </rPr>
          <t xml:space="preserve">Critical = a business process stops or there is compliance/safety impact if this fails. High = major degradation. Medium = workaround exists. Low = minor/cosmetic.</t>
        </r>
      </text>
    </comment>
    <comment ref="AY2" authorId="0">
      <text>
        <r>
          <rPr>
            <sz val="10"/>
            <rFont val="Arial"/>
            <family val="2"/>
          </rPr>
          <t xml:space="preserve">Not Started -&gt; Discovered (you know it exists) -&gt; Partially Documented -&gt; Documented (template complete) -&gt; Validated (SME or direct verification) -&gt; Needs Update (platform changed).</t>
        </r>
      </text>
    </comment>
    <comment ref="AZ2" authorId="0">
      <text>
        <r>
          <rPr>
            <sz val="10"/>
            <rFont val="Arial"/>
            <family val="2"/>
          </rPr>
          <t xml:space="preserve">High = verified directly in ServiceNow. Medium = strongly supported but not fully verified. Low = inferred, needs validation. Unknown = not looked at yet.</t>
        </r>
      </text>
    </comment>
    <comment ref="BA2" authorId="0">
      <text>
        <r>
          <rPr>
            <sz val="10"/>
            <rFont val="Arial"/>
            <family val="2"/>
          </rPr>
          <t xml:space="preserve">Where you saw it: record URL or sys_id, screenshot, SME name + date, ticket number. If you cannot point to it, it is not High confidence.</t>
        </r>
      </text>
    </comment>
    <comment ref="BB2" authorId="0">
      <text>
        <r>
          <rPr>
            <sz val="10"/>
            <rFont val="Arial"/>
            <family val="2"/>
          </rPr>
          <t xml:space="preserve">Lowest access level that lets you VERIFY this item. If you cannot verify it at your current access, leave Confidence at Low/Unknown and use this column as evidence for an access request.</t>
        </r>
      </text>
    </comment>
    <comment ref="BC2" authorId="0">
      <text>
        <r>
          <rPr>
            <sz val="10"/>
            <rFont val="Arial"/>
            <family val="2"/>
          </rPr>
          <t xml:space="preserve">Date you last compared this row against the live platform (ServiceNow wins if they disagree).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U2" authorId="0">
      <text>
        <r>
          <rPr>
            <sz val="10"/>
            <rFont val="Arial"/>
            <family val="2"/>
          </rPr>
          <t xml:space="preserve">What this object needs to work. Also add rows on the Dependencies sheet - that sheet drives Impact Check.</t>
        </r>
      </text>
    </comment>
    <comment ref="V2" authorId="0">
      <text>
        <r>
          <rPr>
            <sz val="10"/>
            <rFont val="Arial"/>
            <family val="2"/>
          </rPr>
          <t xml:space="preserve">Critical = a business process stops or there is compliance/safety impact if this fails. High = major degradation. Medium = workaround exists. Low = minor/cosmetic.</t>
        </r>
      </text>
    </comment>
    <comment ref="W2" authorId="0">
      <text>
        <r>
          <rPr>
            <sz val="10"/>
            <rFont val="Arial"/>
            <family val="2"/>
          </rPr>
          <t xml:space="preserve">Not Started -&gt; Discovered (you know it exists) -&gt; Partially Documented -&gt; Documented (template complete) -&gt; Validated (SME or direct verification) -&gt; Needs Update (platform changed).</t>
        </r>
      </text>
    </comment>
    <comment ref="X2" authorId="0">
      <text>
        <r>
          <rPr>
            <sz val="10"/>
            <rFont val="Arial"/>
            <family val="2"/>
          </rPr>
          <t xml:space="preserve">High = verified directly in ServiceNow. Medium = strongly supported but not fully verified. Low = inferred, needs validation. Unknown = not looked at yet.</t>
        </r>
      </text>
    </comment>
    <comment ref="Y2" authorId="0">
      <text>
        <r>
          <rPr>
            <sz val="10"/>
            <rFont val="Arial"/>
            <family val="2"/>
          </rPr>
          <t xml:space="preserve">Where you saw it: record URL or sys_id, screenshot, SME name + date, ticket number. If you cannot point to it, it is not High confidence.</t>
        </r>
      </text>
    </comment>
    <comment ref="Z2" authorId="0">
      <text>
        <r>
          <rPr>
            <sz val="10"/>
            <rFont val="Arial"/>
            <family val="2"/>
          </rPr>
          <t xml:space="preserve">Lowest access level that lets you VERIFY this item. If you cannot verify it at your current access, leave Confidence at Low/Unknown and use this column as evidence for an access request.</t>
        </r>
      </text>
    </comment>
    <comment ref="AA2" authorId="0">
      <text>
        <r>
          <rPr>
            <sz val="10"/>
            <rFont val="Arial"/>
            <family val="2"/>
          </rPr>
          <t xml:space="preserve">Date you last compared this row against the live platform (ServiceNow wins if they disagree).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Person accountable for the business outcome. If unknown, leave blank (dashboard counts it) and log an Unknown.</t>
        </r>
      </text>
    </comment>
    <comment ref="G2" authorId="0">
      <text>
        <r>
          <rPr>
            <sz val="10"/>
            <rFont val="Arial"/>
            <family val="2"/>
          </rPr>
          <t xml:space="preserve">Person accountable for keeping it working technically. Blank is a risk, not an error.</t>
        </r>
      </text>
    </comment>
    <comment ref="I2" authorId="0">
      <text>
        <r>
          <rPr>
            <sz val="10"/>
            <rFont val="Arial"/>
            <family val="2"/>
          </rPr>
          <t xml:space="preserve">Which business process breaks if this stops working? Use the Process Name from the Business Processes sheet.</t>
        </r>
      </text>
    </comment>
    <comment ref="K2" authorId="0">
      <text>
        <r>
          <rPr>
            <sz val="10"/>
            <rFont val="Arial"/>
            <family val="2"/>
          </rPr>
          <t xml:space="preserve">Critical = a business process stops or there is compliance/safety impact if this fails. High = major degradation. Medium = workaround exists. Low = minor/cosmetic.</t>
        </r>
      </text>
    </comment>
    <comment ref="Z2" authorId="0">
      <text>
        <r>
          <rPr>
            <sz val="10"/>
            <rFont val="Arial"/>
            <family val="2"/>
          </rPr>
          <t xml:space="preserve">What this object needs to work. Also add rows on the Dependencies sheet - that sheet drives Impact Check.</t>
        </r>
      </text>
    </comment>
    <comment ref="AB2" authorId="0">
      <text>
        <r>
          <rPr>
            <sz val="10"/>
            <rFont val="Arial"/>
            <family val="2"/>
          </rPr>
          <t xml:space="preserve">Not Started -&gt; Discovered (you know it exists) -&gt; Partially Documented -&gt; Documented (template complete) -&gt; Validated (SME or direct verification) -&gt; Needs Update (platform changed).</t>
        </r>
      </text>
    </comment>
    <comment ref="AC2" authorId="0">
      <text>
        <r>
          <rPr>
            <sz val="10"/>
            <rFont val="Arial"/>
            <family val="2"/>
          </rPr>
          <t xml:space="preserve">High = verified directly in ServiceNow. Medium = strongly supported but not fully verified. Low = inferred, needs validation. Unknown = not looked at yet.</t>
        </r>
      </text>
    </comment>
    <comment ref="AD2" authorId="0">
      <text>
        <r>
          <rPr>
            <sz val="10"/>
            <rFont val="Arial"/>
            <family val="2"/>
          </rPr>
          <t xml:space="preserve">Where you saw it: record URL or sys_id, screenshot, SME name + date, ticket number. If you cannot point to it, it is not High confidence.</t>
        </r>
      </text>
    </comment>
    <comment ref="AE2" authorId="0">
      <text>
        <r>
          <rPr>
            <sz val="10"/>
            <rFont val="Arial"/>
            <family val="2"/>
          </rPr>
          <t xml:space="preserve">Lowest access level that lets you VERIFY this item. If you cannot verify it at your current access, leave Confidence at Low/Unknown and use this column as evidence for an access request.</t>
        </r>
      </text>
    </comment>
    <comment ref="AF2" authorId="0">
      <text>
        <r>
          <rPr>
            <sz val="10"/>
            <rFont val="Arial"/>
            <family val="2"/>
          </rPr>
          <t xml:space="preserve">Date you last compared this row against the live platform (ServiceNow wins if they disagree).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2" authorId="0">
      <text>
        <r>
          <rPr>
            <sz val="10"/>
            <rFont val="Arial"/>
            <family val="2"/>
          </rPr>
          <t xml:space="preserve">What this object needs to work. Also add rows on the Dependencies sheet - that sheet drives Impact Check.</t>
        </r>
      </text>
    </comment>
    <comment ref="Q2" authorId="0">
      <text>
        <r>
          <rPr>
            <sz val="10"/>
            <rFont val="Arial"/>
            <family val="2"/>
          </rPr>
          <t xml:space="preserve">Critical = a business process stops or there is compliance/safety impact if this fails. High = major degradation. Medium = workaround exists. Low = minor/cosmetic.</t>
        </r>
      </text>
    </comment>
    <comment ref="R2" authorId="0">
      <text>
        <r>
          <rPr>
            <sz val="10"/>
            <rFont val="Arial"/>
            <family val="2"/>
          </rPr>
          <t xml:space="preserve">Not Started -&gt; Discovered (you know it exists) -&gt; Partially Documented -&gt; Documented (template complete) -&gt; Validated (SME or direct verification) -&gt; Needs Update (platform changed).</t>
        </r>
      </text>
    </comment>
    <comment ref="S2" authorId="0">
      <text>
        <r>
          <rPr>
            <sz val="10"/>
            <rFont val="Arial"/>
            <family val="2"/>
          </rPr>
          <t xml:space="preserve">High = verified directly in ServiceNow. Medium = strongly supported but not fully verified. Low = inferred, needs validation. Unknown = not looked at yet.</t>
        </r>
      </text>
    </comment>
    <comment ref="T2" authorId="0">
      <text>
        <r>
          <rPr>
            <sz val="10"/>
            <rFont val="Arial"/>
            <family val="2"/>
          </rPr>
          <t xml:space="preserve">Where you saw it: record URL or sys_id, screenshot, SME name + date, ticket number. If you cannot point to it, it is not High confidence.</t>
        </r>
      </text>
    </comment>
    <comment ref="U2" authorId="0">
      <text>
        <r>
          <rPr>
            <sz val="10"/>
            <rFont val="Arial"/>
            <family val="2"/>
          </rPr>
          <t xml:space="preserve">Lowest access level that lets you VERIFY this item. If you cannot verify it at your current access, leave Confidence at Low/Unknown and use this column as evidence for an access request.</t>
        </r>
      </text>
    </comment>
    <comment ref="V2" authorId="0">
      <text>
        <r>
          <rPr>
            <sz val="10"/>
            <rFont val="Arial"/>
            <family val="2"/>
          </rPr>
          <t xml:space="preserve">Date you last compared this row against the live platform (ServiceNow wins if they disagree).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Person accountable for the business outcome. If unknown, leave blank (dashboard counts it) and log an Unknown.</t>
        </r>
      </text>
    </comment>
    <comment ref="I2" authorId="0">
      <text>
        <r>
          <rPr>
            <sz val="10"/>
            <rFont val="Arial"/>
            <family val="2"/>
          </rPr>
          <t xml:space="preserve">Person accountable for keeping it working technically. Blank is a risk, not an error.</t>
        </r>
      </text>
    </comment>
    <comment ref="K2" authorId="0">
      <text>
        <r>
          <rPr>
            <sz val="10"/>
            <rFont val="Arial"/>
            <family val="2"/>
          </rPr>
          <t xml:space="preserve">Which business process breaks if this stops working? Use the Process Name from the Business Processes sheet.</t>
        </r>
      </text>
    </comment>
    <comment ref="AC2" authorId="0">
      <text>
        <r>
          <rPr>
            <sz val="10"/>
            <rFont val="Arial"/>
            <family val="2"/>
          </rPr>
          <t xml:space="preserve">What this object needs to work. Also add rows on the Dependencies sheet - that sheet drives Impact Check.</t>
        </r>
      </text>
    </comment>
    <comment ref="AD2" authorId="0">
      <text>
        <r>
          <rPr>
            <sz val="10"/>
            <rFont val="Arial"/>
            <family val="2"/>
          </rPr>
          <t xml:space="preserve">What relies on this object. This is the 'what breaks if I change it' list.</t>
        </r>
      </text>
    </comment>
    <comment ref="AF2" authorId="0">
      <text>
        <r>
          <rPr>
            <sz val="10"/>
            <rFont val="Arial"/>
            <family val="2"/>
          </rPr>
          <t xml:space="preserve">Critical = a business process stops or there is compliance/safety impact if this fails. High = major degradation. Medium = workaround exists. Low = minor/cosmetic.</t>
        </r>
      </text>
    </comment>
    <comment ref="AI2" authorId="0">
      <text>
        <r>
          <rPr>
            <sz val="10"/>
            <rFont val="Arial"/>
            <family val="2"/>
          </rPr>
          <t xml:space="preserve">Not Started -&gt; Discovered (you know it exists) -&gt; Partially Documented -&gt; Documented (template complete) -&gt; Validated (SME or direct verification) -&gt; Needs Update (platform changed).</t>
        </r>
      </text>
    </comment>
    <comment ref="AJ2" authorId="0">
      <text>
        <r>
          <rPr>
            <sz val="10"/>
            <rFont val="Arial"/>
            <family val="2"/>
          </rPr>
          <t xml:space="preserve">High = verified directly in ServiceNow. Medium = strongly supported but not fully verified. Low = inferred, needs validation. Unknown = not looked at yet.</t>
        </r>
      </text>
    </comment>
    <comment ref="AK2" authorId="0">
      <text>
        <r>
          <rPr>
            <sz val="10"/>
            <rFont val="Arial"/>
            <family val="2"/>
          </rPr>
          <t xml:space="preserve">Where you saw it: record URL or sys_id, screenshot, SME name + date, ticket number. If you cannot point to it, it is not High confidence.</t>
        </r>
      </text>
    </comment>
    <comment ref="AL2" authorId="0">
      <text>
        <r>
          <rPr>
            <sz val="10"/>
            <rFont val="Arial"/>
            <family val="2"/>
          </rPr>
          <t xml:space="preserve">Lowest access level that lets you VERIFY this item. If you cannot verify it at your current access, leave Confidence at Low/Unknown and use this column as evidence for an access request.</t>
        </r>
      </text>
    </comment>
    <comment ref="AM2" authorId="0">
      <text>
        <r>
          <rPr>
            <sz val="10"/>
            <rFont val="Arial"/>
            <family val="2"/>
          </rPr>
          <t xml:space="preserve">Date you last compared this row against the live platform (ServiceNow wins if they disagree).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W2" authorId="0">
      <text>
        <r>
          <rPr>
            <sz val="10"/>
            <rFont val="Arial"/>
            <family val="2"/>
          </rPr>
          <t xml:space="preserve">Critical = a business process stops or there is compliance/safety impact if this fails. High = major degradation. Medium = workaround exists. Low = minor/cosmetic.</t>
        </r>
      </text>
    </comment>
    <comment ref="X2" authorId="0">
      <text>
        <r>
          <rPr>
            <sz val="10"/>
            <rFont val="Arial"/>
            <family val="2"/>
          </rPr>
          <t xml:space="preserve">OOTB = untouched out-of-box. Customized OOTB = OOTB object modified (upgrade risk). Custom = built here. Check the record's update/customization indicators and scope.</t>
        </r>
      </text>
    </comment>
    <comment ref="AA2" authorId="0">
      <text>
        <r>
          <rPr>
            <sz val="10"/>
            <rFont val="Arial"/>
            <family val="2"/>
          </rPr>
          <t xml:space="preserve">Not Started -&gt; Discovered (you know it exists) -&gt; Partially Documented -&gt; Documented (template complete) -&gt; Validated (SME or direct verification) -&gt; Needs Update (platform changed).</t>
        </r>
      </text>
    </comment>
    <comment ref="AB2" authorId="0">
      <text>
        <r>
          <rPr>
            <sz val="10"/>
            <rFont val="Arial"/>
            <family val="2"/>
          </rPr>
          <t xml:space="preserve">High = verified directly in ServiceNow. Medium = strongly supported but not fully verified. Low = inferred, needs validation. Unknown = not looked at yet.</t>
        </r>
      </text>
    </comment>
    <comment ref="AC2" authorId="0">
      <text>
        <r>
          <rPr>
            <sz val="10"/>
            <rFont val="Arial"/>
            <family val="2"/>
          </rPr>
          <t xml:space="preserve">Where you saw it: record URL or sys_id, screenshot, SME name + date, ticket number. If you cannot point to it, it is not High confidence.</t>
        </r>
      </text>
    </comment>
    <comment ref="AD2" authorId="0">
      <text>
        <r>
          <rPr>
            <sz val="10"/>
            <rFont val="Arial"/>
            <family val="2"/>
          </rPr>
          <t xml:space="preserve">Lowest access level that lets you VERIFY this item. If you cannot verify it at your current access, leave Confidence at Low/Unknown and use this column as evidence for an access request.</t>
        </r>
      </text>
    </comment>
    <comment ref="AE2" authorId="0">
      <text>
        <r>
          <rPr>
            <sz val="10"/>
            <rFont val="Arial"/>
            <family val="2"/>
          </rPr>
          <t xml:space="preserve">Date you last compared this row against the live platform (ServiceNow wins if they disagree).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W2" authorId="0">
      <text>
        <r>
          <rPr>
            <sz val="10"/>
            <rFont val="Arial"/>
            <family val="2"/>
          </rPr>
          <t xml:space="preserve">What this object needs to work. Also add rows on the Dependencies sheet - that sheet drives Impact Check.</t>
        </r>
      </text>
    </comment>
    <comment ref="X2" authorId="0">
      <text>
        <r>
          <rPr>
            <sz val="10"/>
            <rFont val="Arial"/>
            <family val="2"/>
          </rPr>
          <t xml:space="preserve">Person accountable for the business outcome. If unknown, leave blank (dashboard counts it) and log an Unknown.</t>
        </r>
      </text>
    </comment>
    <comment ref="Y2" authorId="0">
      <text>
        <r>
          <rPr>
            <sz val="10"/>
            <rFont val="Arial"/>
            <family val="2"/>
          </rPr>
          <t xml:space="preserve">Person accountable for keeping it working technically. Blank is a risk, not an error.</t>
        </r>
      </text>
    </comment>
    <comment ref="AB2" authorId="0">
      <text>
        <r>
          <rPr>
            <sz val="10"/>
            <rFont val="Arial"/>
            <family val="2"/>
          </rPr>
          <t xml:space="preserve">Critical = a business process stops or there is compliance/safety impact if this fails. High = major degradation. Medium = workaround exists. Low = minor/cosmetic.</t>
        </r>
      </text>
    </comment>
    <comment ref="AD2" authorId="0">
      <text>
        <r>
          <rPr>
            <sz val="10"/>
            <rFont val="Arial"/>
            <family val="2"/>
          </rPr>
          <t xml:space="preserve">Not Started -&gt; Discovered (you know it exists) -&gt; Partially Documented -&gt; Documented (template complete) -&gt; Validated (SME or direct verification) -&gt; Needs Update (platform changed).</t>
        </r>
      </text>
    </comment>
    <comment ref="AE2" authorId="0">
      <text>
        <r>
          <rPr>
            <sz val="10"/>
            <rFont val="Arial"/>
            <family val="2"/>
          </rPr>
          <t xml:space="preserve">High = verified directly in ServiceNow. Medium = strongly supported but not fully verified. Low = inferred, needs validation. Unknown = not looked at yet.</t>
        </r>
      </text>
    </comment>
    <comment ref="AF2" authorId="0">
      <text>
        <r>
          <rPr>
            <sz val="10"/>
            <rFont val="Arial"/>
            <family val="2"/>
          </rPr>
          <t xml:space="preserve">Where you saw it: record URL or sys_id, screenshot, SME name + date, ticket number. If you cannot point to it, it is not High confidence.</t>
        </r>
      </text>
    </comment>
    <comment ref="AG2" authorId="0">
      <text>
        <r>
          <rPr>
            <sz val="10"/>
            <rFont val="Arial"/>
            <family val="2"/>
          </rPr>
          <t xml:space="preserve">Lowest access level that lets you VERIFY this item. If you cannot verify it at your current access, leave Confidence at Low/Unknown and use this column as evidence for an access request.</t>
        </r>
      </text>
    </comment>
    <comment ref="AH2" authorId="0">
      <text>
        <r>
          <rPr>
            <sz val="10"/>
            <rFont val="Arial"/>
            <family val="2"/>
          </rPr>
          <t xml:space="preserve">Date you last compared this row against the live platform (ServiceNow wins if they disagree).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2" authorId="0">
      <text>
        <r>
          <rPr>
            <sz val="10"/>
            <rFont val="Arial"/>
            <family val="2"/>
          </rPr>
          <t xml:space="preserve">What this object needs to work. Also add rows on the Dependencies sheet - that sheet drives Impact Check.</t>
        </r>
      </text>
    </comment>
    <comment ref="V2" authorId="0">
      <text>
        <r>
          <rPr>
            <sz val="10"/>
            <rFont val="Arial"/>
            <family val="2"/>
          </rPr>
          <t xml:space="preserve">Critical = a business process stops or there is compliance/safety impact if this fails. High = major degradation. Medium = workaround exists. Low = minor/cosmetic.</t>
        </r>
      </text>
    </comment>
    <comment ref="W2" authorId="0">
      <text>
        <r>
          <rPr>
            <sz val="10"/>
            <rFont val="Arial"/>
            <family val="2"/>
          </rPr>
          <t xml:space="preserve">Not Started -&gt; Discovered (you know it exists) -&gt; Partially Documented -&gt; Documented (template complete) -&gt; Validated (SME or direct verification) -&gt; Needs Update (platform changed).</t>
        </r>
      </text>
    </comment>
    <comment ref="X2" authorId="0">
      <text>
        <r>
          <rPr>
            <sz val="10"/>
            <rFont val="Arial"/>
            <family val="2"/>
          </rPr>
          <t xml:space="preserve">High = verified directly in ServiceNow. Medium = strongly supported but not fully verified. Low = inferred, needs validation. Unknown = not looked at yet.</t>
        </r>
      </text>
    </comment>
    <comment ref="Y2" authorId="0">
      <text>
        <r>
          <rPr>
            <sz val="10"/>
            <rFont val="Arial"/>
            <family val="2"/>
          </rPr>
          <t xml:space="preserve">Where you saw it: record URL or sys_id, screenshot, SME name + date, ticket number. If you cannot point to it, it is not High confidence.</t>
        </r>
      </text>
    </comment>
    <comment ref="Z2" authorId="0">
      <text>
        <r>
          <rPr>
            <sz val="10"/>
            <rFont val="Arial"/>
            <family val="2"/>
          </rPr>
          <t xml:space="preserve">Lowest access level that lets you VERIFY this item. If you cannot verify it at your current access, leave Confidence at Low/Unknown and use this column as evidence for an access request.</t>
        </r>
      </text>
    </comment>
    <comment ref="AA2" authorId="0">
      <text>
        <r>
          <rPr>
            <sz val="10"/>
            <rFont val="Arial"/>
            <family val="2"/>
          </rPr>
          <t xml:space="preserve">Date you last compared this row against the live platform (ServiceNow wins if they disagree).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Y2" authorId="0">
      <text>
        <r>
          <rPr>
            <sz val="10"/>
            <rFont val="Arial"/>
            <family val="2"/>
          </rPr>
          <t xml:space="preserve">Critical = a business process stops or there is compliance/safety impact if this fails. High = major degradation. Medium = workaround exists. Low = minor/cosmetic.</t>
        </r>
      </text>
    </comment>
    <comment ref="AC2" authorId="0">
      <text>
        <r>
          <rPr>
            <sz val="10"/>
            <rFont val="Arial"/>
            <family val="2"/>
          </rPr>
          <t xml:space="preserve">Not Started -&gt; Discovered (you know it exists) -&gt; Partially Documented -&gt; Documented (template complete) -&gt; Validated (SME or direct verification) -&gt; Needs Update (platform changed).</t>
        </r>
      </text>
    </comment>
    <comment ref="AD2" authorId="0">
      <text>
        <r>
          <rPr>
            <sz val="10"/>
            <rFont val="Arial"/>
            <family val="2"/>
          </rPr>
          <t xml:space="preserve">High = verified directly in ServiceNow. Medium = strongly supported but not fully verified. Low = inferred, needs validation. Unknown = not looked at yet.</t>
        </r>
      </text>
    </comment>
    <comment ref="AE2" authorId="0">
      <text>
        <r>
          <rPr>
            <sz val="10"/>
            <rFont val="Arial"/>
            <family val="2"/>
          </rPr>
          <t xml:space="preserve">Where you saw it: record URL or sys_id, screenshot, SME name + date, ticket number. If you cannot point to it, it is not High confidence.</t>
        </r>
      </text>
    </comment>
    <comment ref="AF2" authorId="0">
      <text>
        <r>
          <rPr>
            <sz val="10"/>
            <rFont val="Arial"/>
            <family val="2"/>
          </rPr>
          <t xml:space="preserve">Lowest access level that lets you VERIFY this item. If you cannot verify it at your current access, leave Confidence at Low/Unknown and use this column as evidence for an access request.</t>
        </r>
      </text>
    </comment>
    <comment ref="AG2" authorId="0">
      <text>
        <r>
          <rPr>
            <sz val="10"/>
            <rFont val="Arial"/>
            <family val="2"/>
          </rPr>
          <t xml:space="preserve">Date you last compared this row against the live platform (ServiceNow wins if they disagree).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2" authorId="0">
      <text>
        <r>
          <rPr>
            <sz val="10"/>
            <rFont val="Arial"/>
            <family val="2"/>
          </rPr>
          <t xml:space="preserve">Critical = a business process stops or there is compliance/safety impact if this fails. High = major degradation. Medium = workaround exists. Low = minor/cosmetic.</t>
        </r>
      </text>
    </comment>
    <comment ref="L2" authorId="0">
      <text>
        <r>
          <rPr>
            <sz val="10"/>
            <rFont val="Arial"/>
            <family val="2"/>
          </rPr>
          <t xml:space="preserve">High = verified directly in ServiceNow. Medium = strongly supported but not fully verified. Low = inferred, needs validation. Unknown = not looked at yet.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Lowest access level that lets you VERIFY this item. If you cannot verify it at your current access, leave Confidence at Low/Unknown and use this column as evidence for an access request.</t>
        </r>
      </text>
    </comment>
    <comment ref="L2" authorId="0">
      <text>
        <r>
          <rPr>
            <sz val="10"/>
            <rFont val="Arial"/>
            <family val="2"/>
          </rPr>
          <t xml:space="preserve">Where you saw it: record URL or sys_id, screenshot, SME name + date, ticket number. If you cannot point to it, it is not High confidence.</t>
        </r>
      </text>
    </comment>
    <comment ref="O2" authorId="0">
      <text>
        <r>
          <rPr>
            <sz val="10"/>
            <rFont val="Arial"/>
            <family val="2"/>
          </rPr>
          <t xml:space="preserve">High = verified directly in ServiceNow. Medium = strongly supported but not fully verified. Low = inferred, needs validation. Unknown = not looked at yet.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2" authorId="0">
      <text>
        <r>
          <rPr>
            <sz val="10"/>
            <rFont val="Arial"/>
            <family val="2"/>
          </rPr>
          <t xml:space="preserve">High = verified directly in ServiceNow. Medium = strongly supported but not fully verified. Low = inferred, needs validation. Unknown = not looked at yet.</t>
        </r>
      </text>
    </comment>
    <comment ref="Q2" authorId="0">
      <text>
        <r>
          <rPr>
            <sz val="10"/>
            <rFont val="Arial"/>
            <family val="2"/>
          </rPr>
          <t xml:space="preserve">Where you saw it: record URL or sys_id, screenshot, SME name + date, ticket number. If you cannot point to it, it is not High confidence.</t>
        </r>
      </text>
    </comment>
  </commentList>
</comments>
</file>

<file path=xl/comments2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" authorId="0">
      <text>
        <r>
          <rPr>
            <sz val="10"/>
            <rFont val="Arial"/>
            <family val="2"/>
          </rPr>
          <t xml:space="preserve">Lowest access level that lets you VERIFY this item. If you cannot verify it at your current access, leave Confidence at Low/Unknown and use this column as evidence for an access request.</t>
        </r>
      </text>
    </comment>
  </commentList>
</comments>
</file>

<file path=xl/sharedStrings.xml><?xml version="1.0" encoding="utf-8"?>
<sst xmlns="http://schemas.openxmlformats.org/spreadsheetml/2006/main" count="2369" uniqueCount="1368">
  <si>
    <t xml:space="preserve">ServiceNow Architecture Discovery Workbook</t>
  </si>
  <si>
    <t xml:space="preserve">Purpose</t>
  </si>
  <si>
    <t xml:space="preserve">Learn an inherited ServiceNow instance by tracing real work, record what you can PROVE, and make unknowns and risks visible - with limited access. Companion to the Obsidian vault (same IDs, same vocabulary).</t>
  </si>
  <si>
    <t xml:space="preserve">PRINCIPLES</t>
  </si>
  <si>
    <t xml:space="preserve">ServiceNow is authoritative</t>
  </si>
  <si>
    <t xml:space="preserve">If this workbook disagrees with the platform, the platform wins until you resolve the difference. Update the workbook, set Last Reviewed.</t>
  </si>
  <si>
    <t xml:space="preserve">Never guess</t>
  </si>
  <si>
    <t xml:space="preserve">If you don't know why something exists, log it on the Unknowns sheet. Write 'UNKNOWN' in Purpose columns. Do not invent reasons.</t>
  </si>
  <si>
    <t xml:space="preserve">Document relationships</t>
  </si>
  <si>
    <t xml:space="preserve">A table name is less useful than knowing what depends on it. Use the Dependencies sheet and Impact Check.</t>
  </si>
  <si>
    <t xml:space="preserve">Business purpose first</t>
  </si>
  <si>
    <t xml:space="preserve">Link objects to a Business Process. If you cannot, say so.</t>
  </si>
  <si>
    <t xml:space="preserve">Track ownership and confidence</t>
  </si>
  <si>
    <t xml:space="preserve">Every Critical/High object should end with an owner. Every row has a Confidence level (High=verified, Medium=strongly supported, Low=inferred).</t>
  </si>
  <si>
    <t xml:space="preserve">Capture why</t>
  </si>
  <si>
    <t xml:space="preserve">Record decisions (and reconstructed decisions, labeled as such).</t>
  </si>
  <si>
    <t xml:space="preserve">Build incrementally</t>
  </si>
  <si>
    <t xml:space="preserve">Do not try to document the whole platform. Document what you encounter while tracing real processes.</t>
  </si>
  <si>
    <t xml:space="preserve">HOW TO USE (daily loop)</t>
  </si>
  <si>
    <t xml:space="preserve">1. Architecture Overview</t>
  </si>
  <si>
    <t xml:space="preserve">Fill what you can verify. Everything else becomes an Unknown.</t>
  </si>
  <si>
    <t xml:space="preserve">2. Inventory</t>
  </si>
  <si>
    <t xml:space="preserve">Add rows to Object Inventory (existence + owner + criticality) and Applications.</t>
  </si>
  <si>
    <t xml:space="preserve">3. Pick processes</t>
  </si>
  <si>
    <t xml:space="preserve">Business Processes sheet: choose 3-5, set Priority to Trace.</t>
  </si>
  <si>
    <t xml:space="preserve">4. Trace end-to-end</t>
  </si>
  <si>
    <t xml:space="preserve">User -&gt; catalog -&gt; variables -&gt; flow -&gt; tables -&gt; scripts -&gt; notifications -&gt; approvals -&gt; integrations -&gt; reporting.</t>
  </si>
  <si>
    <t xml:space="preserve">5. Document as you meet objects</t>
  </si>
  <si>
    <t xml:space="preserve">Use the detail sheet for the type (Tables, Flows, ...). Add an Object Inventory row for each.</t>
  </si>
  <si>
    <t xml:space="preserve">6. Record relationships</t>
  </si>
  <si>
    <t xml:space="preserve">Dependencies sheet: Source -&gt; relationship -&gt; Target. Use exact object names.</t>
  </si>
  <si>
    <t xml:space="preserve">7. Record Unknowns and Risks</t>
  </si>
  <si>
    <t xml:space="preserve">Never leave a question in your head. Set Access Needed - that builds your access case.</t>
  </si>
  <si>
    <t xml:space="preserve">8. Validate with SMEs</t>
  </si>
  <si>
    <t xml:space="preserve">Set Confidence to High only when verified directly. Record who validated and when.</t>
  </si>
  <si>
    <t xml:space="preserve">9. Check the Dashboard</t>
  </si>
  <si>
    <t xml:space="preserve">See coverage, owner gaps, critical risks. Update Current Focus.</t>
  </si>
  <si>
    <t xml:space="preserve">10. Before any change</t>
  </si>
  <si>
    <t xml:space="preserve">Use Impact Check, then Decisions and Change History.</t>
  </si>
  <si>
    <t xml:space="preserve">SHEET MAP</t>
  </si>
  <si>
    <t xml:space="preserve">Dashboard</t>
  </si>
  <si>
    <t xml:space="preserve">Metrics (formulas)</t>
  </si>
  <si>
    <t xml:space="preserve">Architecture Overview</t>
  </si>
  <si>
    <t xml:space="preserve">Instance facts, people, layers</t>
  </si>
  <si>
    <t xml:space="preserve">Object Inventory</t>
  </si>
  <si>
    <t xml:space="preserve">Master list of everything important</t>
  </si>
  <si>
    <t xml:space="preserve">Applications / Tables / Fields</t>
  </si>
  <si>
    <t xml:space="preserve">Application and data model</t>
  </si>
  <si>
    <t xml:space="preserve">Catalog Items / Variables</t>
  </si>
  <si>
    <t xml:space="preserve">Service catalog</t>
  </si>
  <si>
    <t xml:space="preserve">Flows / Scripts &amp; Rules</t>
  </si>
  <si>
    <t xml:space="preserve">Automation and code</t>
  </si>
  <si>
    <t xml:space="preserve">Integrations</t>
  </si>
  <si>
    <t xml:space="preserve">External connections</t>
  </si>
  <si>
    <t xml:space="preserve">Security</t>
  </si>
  <si>
    <t xml:space="preserve">Roles, groups, ACLs</t>
  </si>
  <si>
    <t xml:space="preserve">Business Processes</t>
  </si>
  <si>
    <t xml:space="preserve">The spine - start here for tracing</t>
  </si>
  <si>
    <t xml:space="preserve">Dependencies / Impact Check</t>
  </si>
  <si>
    <t xml:space="preserve">Relationships and 'what breaks if I change this?'</t>
  </si>
  <si>
    <t xml:space="preserve">Risks / Unknowns</t>
  </si>
  <si>
    <t xml:space="preserve">Risk register (auto score) and unknowns register</t>
  </si>
  <si>
    <t xml:space="preserve">Decisions / Change History</t>
  </si>
  <si>
    <t xml:space="preserve">The 'why' and what changed</t>
  </si>
  <si>
    <t xml:space="preserve">30-Day Plan</t>
  </si>
  <si>
    <t xml:space="preserve">Day-by-day plan</t>
  </si>
  <si>
    <t xml:space="preserve">Access Matrix / Access Roadmap</t>
  </si>
  <si>
    <t xml:space="preserve">What needs what; what to request as responsibilities grow</t>
  </si>
  <si>
    <t xml:space="preserve">Responsibility Modes / Transition Checklist</t>
  </si>
  <si>
    <t xml:space="preserve">Protection from ownership without authority</t>
  </si>
  <si>
    <t xml:space="preserve">Reference Lists</t>
  </si>
  <si>
    <t xml:space="preserve">Dropdown values and definitions</t>
  </si>
  <si>
    <t xml:space="preserve">LEGEND</t>
  </si>
  <si>
    <t xml:space="preserve">Yellow + italic rows</t>
  </si>
  <si>
    <t xml:space="preserve">FICTIONAL EXAMPLES (IDs start EX-). They show how to fill a row. Not your environment. Excluded from Dashboard.</t>
  </si>
  <si>
    <t xml:space="preserve">Yellow input cells</t>
  </si>
  <si>
    <t xml:space="preserve">Cells you edit on Dashboard / Impact Check.</t>
  </si>
  <si>
    <t xml:space="preserve">Grey/blue header</t>
  </si>
  <si>
    <t xml:space="preserve">Hover headers with a red triangle for tips.</t>
  </si>
  <si>
    <t xml:space="preserve">Rows 'Suspected' on Risks</t>
  </si>
  <si>
    <t xml:space="preserve">Hypotheses to check, not findings.</t>
  </si>
  <si>
    <t xml:space="preserve">ASSUMPTIONS (mine, not facts about your instance)</t>
  </si>
  <si>
    <t xml:space="preserve">-</t>
  </si>
  <si>
    <t xml:space="preserve">ServiceNow role names, ACLs and table access differ by instance. 'Typical access' text is a starting hypothesis; record the real role in Notes.</t>
  </si>
  <si>
    <t xml:space="preserve">Examples (EX-...) are invented: no real configuration of yours is represented.</t>
  </si>
  <si>
    <t xml:space="preserve">Table, field and menu names mentioned are common ServiceNow conventions; confirm in your instance.</t>
  </si>
  <si>
    <t xml:space="preserve">Seeded Unknowns/Risks are common to inherited instances; only R-001/R-002 are stated facts from you.</t>
  </si>
  <si>
    <t xml:space="preserve">Do not run background scripts or change production without authority; this workbook is for read-only discovery until your transition agreement says otherwise.</t>
  </si>
  <si>
    <t xml:space="preserve">ARCHITECTURE DASHBOARD - all values are formulas. Yellow cells are yours to edit. Example rows (IDs starting EX-) are excluded.</t>
  </si>
  <si>
    <t xml:space="preserve">FOCUS (edit)</t>
  </si>
  <si>
    <t xml:space="preserve">Current discovery focus</t>
  </si>
  <si>
    <t xml:space="preserve">(e.g., Process 1: ...)</t>
  </si>
  <si>
    <t xml:space="preserve">Next discovery target</t>
  </si>
  <si>
    <t xml:space="preserve">(e.g., ...)</t>
  </si>
  <si>
    <t xml:space="preserve">30-day plan days done</t>
  </si>
  <si>
    <t xml:space="preserve">INVENTORY &amp; COVERAGE</t>
  </si>
  <si>
    <t xml:space="preserve">Metric</t>
  </si>
  <si>
    <t xml:space="preserve">Discovered</t>
  </si>
  <si>
    <t xml:space="preserve">Documented</t>
  </si>
  <si>
    <t xml:space="preserve">% Documented</t>
  </si>
  <si>
    <t xml:space="preserve">Total objects (Object Inventory)</t>
  </si>
  <si>
    <t xml:space="preserve">Tables</t>
  </si>
  <si>
    <t xml:space="preserve">Flows / Subflows</t>
  </si>
  <si>
    <t xml:space="preserve">Catalog items</t>
  </si>
  <si>
    <t xml:space="preserve">Business processes</t>
  </si>
  <si>
    <t xml:space="preserve">Scripts &amp; rules</t>
  </si>
  <si>
    <t xml:space="preserve">Security (roles/groups/ACLs)</t>
  </si>
  <si>
    <t xml:space="preserve">Applications</t>
  </si>
  <si>
    <t xml:space="preserve">Fields (tracked)</t>
  </si>
  <si>
    <t xml:space="preserve">Variables (tracked)</t>
  </si>
  <si>
    <t xml:space="preserve">OVERALL DOCUMENTATION % (Object Inventory)</t>
  </si>
  <si>
    <t xml:space="preserve">RISKS &amp; UNKNOWNS (open items only)</t>
  </si>
  <si>
    <t xml:space="preserve">Critical risks</t>
  </si>
  <si>
    <t xml:space="preserve">High risks</t>
  </si>
  <si>
    <t xml:space="preserve">Suspected risks still to verify</t>
  </si>
  <si>
    <t xml:space="preserve">Critical unknowns (unresolved)</t>
  </si>
  <si>
    <t xml:space="preserve">High unknowns (unresolved)</t>
  </si>
  <si>
    <t xml:space="preserve">All unresolved unknowns</t>
  </si>
  <si>
    <t xml:space="preserve">Unknowns blocked by access</t>
  </si>
  <si>
    <t xml:space="preserve">Use these to justify access requests</t>
  </si>
  <si>
    <t xml:space="preserve">OWNERSHIP &amp; CUSTOMIZATION (Object Inventory)</t>
  </si>
  <si>
    <t xml:space="preserve">Undocumented customizations (Custom or Customized OOTB, not Documented/Validated)</t>
  </si>
  <si>
    <t xml:space="preserve">Objects with no owner (neither business nor technical)</t>
  </si>
  <si>
    <t xml:space="preserve">Objects with no technical owner</t>
  </si>
  <si>
    <t xml:space="preserve">Low or Unknown confidence objects</t>
  </si>
  <si>
    <t xml:space="preserve">Critical objects not yet Documented/Validated</t>
  </si>
  <si>
    <t xml:space="preserve">Dependency rows recorded</t>
  </si>
  <si>
    <t xml:space="preserve">Example rows still present (all sheets)</t>
  </si>
  <si>
    <t xml:space="preserve">Fictional; delete when ready</t>
  </si>
  <si>
    <t xml:space="preserve">OBJECTS BY TYPE (Object Inventory)</t>
  </si>
  <si>
    <t xml:space="preserve">Object Type</t>
  </si>
  <si>
    <t xml:space="preserve">No Owner</t>
  </si>
  <si>
    <t xml:space="preserve">Table</t>
  </si>
  <si>
    <t xml:space="preserve">Field</t>
  </si>
  <si>
    <t xml:space="preserve">Application</t>
  </si>
  <si>
    <t xml:space="preserve">Module</t>
  </si>
  <si>
    <t xml:space="preserve">Flow</t>
  </si>
  <si>
    <t xml:space="preserve">Subflow</t>
  </si>
  <si>
    <t xml:space="preserve">Flow Action</t>
  </si>
  <si>
    <t xml:space="preserve">Business Rule</t>
  </si>
  <si>
    <t xml:space="preserve">Client Script</t>
  </si>
  <si>
    <t xml:space="preserve">UI Policy</t>
  </si>
  <si>
    <t xml:space="preserve">UI Action</t>
  </si>
  <si>
    <t xml:space="preserve">Script Include</t>
  </si>
  <si>
    <t xml:space="preserve">ACL</t>
  </si>
  <si>
    <t xml:space="preserve">Role</t>
  </si>
  <si>
    <t xml:space="preserve">Group</t>
  </si>
  <si>
    <t xml:space="preserve">Catalog Item</t>
  </si>
  <si>
    <t xml:space="preserve">Variable</t>
  </si>
  <si>
    <t xml:space="preserve">Variable Set</t>
  </si>
  <si>
    <t xml:space="preserve">Record Producer</t>
  </si>
  <si>
    <t xml:space="preserve">Notification</t>
  </si>
  <si>
    <t xml:space="preserve">Scheduled Job</t>
  </si>
  <si>
    <t xml:space="preserve">Integration</t>
  </si>
  <si>
    <t xml:space="preserve">REST API</t>
  </si>
  <si>
    <t xml:space="preserve">Data Source</t>
  </si>
  <si>
    <t xml:space="preserve">Transform Map</t>
  </si>
  <si>
    <t xml:space="preserve">Report</t>
  </si>
  <si>
    <t xml:space="preserve">Widget</t>
  </si>
  <si>
    <t xml:space="preserve">Portal</t>
  </si>
  <si>
    <t xml:space="preserve">Knowledge Base</t>
  </si>
  <si>
    <t xml:space="preserve">Other</t>
  </si>
  <si>
    <t xml:space="preserve">ARCHITECTURE OVERVIEW - the front page of your instance. Fill what you can verify; leave the rest blank and log an Unknown. Do not guess.</t>
  </si>
  <si>
    <t xml:space="preserve">Item</t>
  </si>
  <si>
    <t xml:space="preserve">Value</t>
  </si>
  <si>
    <t xml:space="preserve">Evidence / Source</t>
  </si>
  <si>
    <t xml:space="preserve">Confidence</t>
  </si>
  <si>
    <t xml:space="preserve">Last Verified</t>
  </si>
  <si>
    <t xml:space="preserve">Notes / Linked Unknown ID</t>
  </si>
  <si>
    <t xml:space="preserve">INSTANCE</t>
  </si>
  <si>
    <t xml:space="preserve">Instance name</t>
  </si>
  <si>
    <t xml:space="preserve">Unknown</t>
  </si>
  <si>
    <t xml:space="preserve">Instance URL (production)</t>
  </si>
  <si>
    <t xml:space="preserve">Sub-production instance(s) and URLs</t>
  </si>
  <si>
    <t xml:space="preserve">Production / sub-production (this record is for)</t>
  </si>
  <si>
    <t xml:space="preserve">ServiceNow version / release</t>
  </si>
  <si>
    <t xml:space="preserve">Last upgrade (date)</t>
  </si>
  <si>
    <t xml:space="preserve">Next planned upgrade (date)</t>
  </si>
  <si>
    <t xml:space="preserve">Upgrade owner</t>
  </si>
  <si>
    <t xml:space="preserve">PEOPLE</t>
  </si>
  <si>
    <t xml:space="preserve">Platform owner</t>
  </si>
  <si>
    <t xml:space="preserve">Primary administrator</t>
  </si>
  <si>
    <t xml:space="preserve">Backup administrator</t>
  </si>
  <si>
    <t xml:space="preserve">Technical owner</t>
  </si>
  <si>
    <t xml:space="preserve">Business owner</t>
  </si>
  <si>
    <t xml:space="preserve">Vendor / partner support</t>
  </si>
  <si>
    <t xml:space="preserve">Now Support authorized contacts</t>
  </si>
  <si>
    <t xml:space="preserve">Security contact</t>
  </si>
  <si>
    <t xml:space="preserve">WHAT IS ON THE PLATFORM</t>
  </si>
  <si>
    <t xml:space="preserve">Major applications (see Applications sheet)</t>
  </si>
  <si>
    <t xml:space="preserve">Major modules</t>
  </si>
  <si>
    <t xml:space="preserve">Major business processes (see Business Processes sheet)</t>
  </si>
  <si>
    <t xml:space="preserve">Major external systems</t>
  </si>
  <si>
    <t xml:space="preserve">Major integrations (see Integrations sheet)</t>
  </si>
  <si>
    <t xml:space="preserve">Major customizations</t>
  </si>
  <si>
    <t xml:space="preserve">Critical platform dependencies (SSO, MID, email, external APIs)</t>
  </si>
  <si>
    <t xml:space="preserve">PROCESS &amp; GOVERNANCE</t>
  </si>
  <si>
    <t xml:space="preserve">How changes move to production</t>
  </si>
  <si>
    <t xml:space="preserve">Change approval process</t>
  </si>
  <si>
    <t xml:space="preserve">Existing documentation location</t>
  </si>
  <si>
    <t xml:space="preserve">Testing approach (ATF / manual)</t>
  </si>
  <si>
    <t xml:space="preserve">Monitoring / alerting in place</t>
  </si>
  <si>
    <t xml:space="preserve">Architecture diagram location (Obsidian: 01 - PLATFORM/Diagram Library)</t>
  </si>
  <si>
    <t xml:space="preserve">ARCHITECTURE LAYERS (live counts from your sheets; examples excluded)</t>
  </si>
  <si>
    <t xml:space="preserve">Layer</t>
  </si>
  <si>
    <t xml:space="preserve">Where documented</t>
  </si>
  <si>
    <t xml:space="preserve">Rows recorded</t>
  </si>
  <si>
    <t xml:space="preserve">Documented / Validated</t>
  </si>
  <si>
    <t xml:space="preserve">Data Model (Tables)</t>
  </si>
  <si>
    <t xml:space="preserve">Service Catalog</t>
  </si>
  <si>
    <t xml:space="preserve">Catalog Items</t>
  </si>
  <si>
    <t xml:space="preserve">Automation (Flows)</t>
  </si>
  <si>
    <t xml:space="preserve">Flows</t>
  </si>
  <si>
    <t xml:space="preserve">Scripts &amp; Rules</t>
  </si>
  <si>
    <t xml:space="preserve">Reporting / Portals / UI</t>
  </si>
  <si>
    <t xml:space="preserve">Object Inventory (types Report, Dashboard, Widget, Portal)</t>
  </si>
  <si>
    <t xml:space="preserve">MASTER OBJECT INVENTORY - one row per important object. Row = 'it exists'. Detail sheets/notes = 'how it works'. Examples are yellow/italic (IDs start EX-) and are excluded from Dashboard counts.</t>
  </si>
  <si>
    <t xml:space="preserve">Object ID</t>
  </si>
  <si>
    <t xml:space="preserve">Object Name</t>
  </si>
  <si>
    <t xml:space="preserve">Display Name</t>
  </si>
  <si>
    <t xml:space="preserve">Scope</t>
  </si>
  <si>
    <t xml:space="preserve">Business Process</t>
  </si>
  <si>
    <t xml:space="preserve">Business Owner</t>
  </si>
  <si>
    <t xml:space="preserve">Technical Owner</t>
  </si>
  <si>
    <t xml:space="preserve">Status</t>
  </si>
  <si>
    <t xml:space="preserve">Active/Inactive</t>
  </si>
  <si>
    <t xml:space="preserve">OOTB/Custom</t>
  </si>
  <si>
    <t xml:space="preserve">Criticality</t>
  </si>
  <si>
    <t xml:space="preserve">Documentation Status</t>
  </si>
  <si>
    <t xml:space="preserve">Dependencies</t>
  </si>
  <si>
    <t xml:space="preserve">Dependents</t>
  </si>
  <si>
    <t xml:space="preserve">Related Objects</t>
  </si>
  <si>
    <t xml:space="preserve">Last Reviewed</t>
  </si>
  <si>
    <t xml:space="preserve">Access Needed</t>
  </si>
  <si>
    <t xml:space="preserve">sys_id / Link</t>
  </si>
  <si>
    <t xml:space="preserve">Detail Lives In</t>
  </si>
  <si>
    <t xml:space="preserve">Notes</t>
  </si>
  <si>
    <t xml:space="preserve">EX-OBJ-001</t>
  </si>
  <si>
    <t xml:space="preserve">u_ex_asset_request</t>
  </si>
  <si>
    <t xml:space="preserve">Asset Request</t>
  </si>
  <si>
    <t xml:space="preserve">EXAMPLE Asset Requests</t>
  </si>
  <si>
    <t xml:space="preserve">x_ex_assetreq</t>
  </si>
  <si>
    <t xml:space="preserve">Stores each laptop/asset request</t>
  </si>
  <si>
    <t xml:space="preserve">EXAMPLE Laptop Request</t>
  </si>
  <si>
    <t xml:space="preserve">In Use</t>
  </si>
  <si>
    <t xml:space="preserve">Active</t>
  </si>
  <si>
    <t xml:space="preserve">Custom</t>
  </si>
  <si>
    <t xml:space="preserve">Critical</t>
  </si>
  <si>
    <t xml:space="preserve">High</t>
  </si>
  <si>
    <t xml:space="preserve">EX Laptop Request Fulfillment (updates)</t>
  </si>
  <si>
    <t xml:space="preserve">EX Set Cost Center Default; EX ACL write</t>
  </si>
  <si>
    <t xml:space="preserve">Elevated Application</t>
  </si>
  <si>
    <t xml:space="preserve">EXAMPLE - FICTIONAL. Not part of your environment. Delete when you no longer need it.</t>
  </si>
  <si>
    <t xml:space="preserve">EX-OBJ-002</t>
  </si>
  <si>
    <t xml:space="preserve">EX Laptop Request</t>
  </si>
  <si>
    <t xml:space="preserve">Laptop Request</t>
  </si>
  <si>
    <t xml:space="preserve">Employee-facing request form</t>
  </si>
  <si>
    <t xml:space="preserve">EX Laptop Request Fulfillment</t>
  </si>
  <si>
    <t xml:space="preserve">Employees (portal)</t>
  </si>
  <si>
    <t xml:space="preserve">Basic User</t>
  </si>
  <si>
    <t xml:space="preserve">EX-OBJ-003</t>
  </si>
  <si>
    <t xml:space="preserve">Laptop Request Fulfillment</t>
  </si>
  <si>
    <t xml:space="preserve">Approval, task creation, record updates</t>
  </si>
  <si>
    <t xml:space="preserve">Partially Documented</t>
  </si>
  <si>
    <t xml:space="preserve">Medium</t>
  </si>
  <si>
    <t xml:space="preserve">EX Get Manager Approval; u_ex_asset_request; EX HR Employee Lookup</t>
  </si>
  <si>
    <t xml:space="preserve">Admin</t>
  </si>
  <si>
    <t xml:space="preserve">EX-OBJ-004</t>
  </si>
  <si>
    <t xml:space="preserve">EX Set Cost Center Default</t>
  </si>
  <si>
    <t xml:space="preserve">Set Cost Center Default</t>
  </si>
  <si>
    <t xml:space="preserve">UNKNOWN - see EX-U-001</t>
  </si>
  <si>
    <t xml:space="preserve">Low</t>
  </si>
  <si>
    <t xml:space="preserve">EXCostCenterUtil</t>
  </si>
  <si>
    <t xml:space="preserve">u_ex_asset_request inserts</t>
  </si>
  <si>
    <t xml:space="preserve">EX-OBJ-005</t>
  </si>
  <si>
    <t xml:space="preserve">EX HR Employee Lookup</t>
  </si>
  <si>
    <t xml:space="preserve">HR Employee Lookup</t>
  </si>
  <si>
    <t xml:space="preserve">EXAMPLE Integrations</t>
  </si>
  <si>
    <t xml:space="preserve">global</t>
  </si>
  <si>
    <t xml:space="preserve">Looks up employee data in a (fictional) HR system</t>
  </si>
  <si>
    <t xml:space="preserve">External HR system</t>
  </si>
  <si>
    <t xml:space="preserve">EX-OBJ-006</t>
  </si>
  <si>
    <t xml:space="preserve">x_ex_assetreq.fulfiller</t>
  </si>
  <si>
    <t xml:space="preserve">Asset Fulfiller</t>
  </si>
  <si>
    <t xml:space="preserve">Lets fulfillers work asset requests</t>
  </si>
  <si>
    <t xml:space="preserve">EX ACL write u_ex_asset_request</t>
  </si>
  <si>
    <t xml:space="preserve">APPLICATIONS &amp; MODULES - what is installed/used and why. Start here for Days 4-5 of the plan.</t>
  </si>
  <si>
    <t xml:space="preserve">App ID</t>
  </si>
  <si>
    <t xml:space="preserve">Application Name</t>
  </si>
  <si>
    <t xml:space="preserve">Source (OOTB / Store / Custom)</t>
  </si>
  <si>
    <t xml:space="preserve">Version</t>
  </si>
  <si>
    <t xml:space="preserve">Key Modules</t>
  </si>
  <si>
    <t xml:space="preserve">Key Tables</t>
  </si>
  <si>
    <t xml:space="preserve">Key Business Processes</t>
  </si>
  <si>
    <t xml:space="preserve">Primary Users / Groups</t>
  </si>
  <si>
    <t xml:space="preserve">EX-APP-001</t>
  </si>
  <si>
    <t xml:space="preserve">1.2</t>
  </si>
  <si>
    <t xml:space="preserve">Employee asset requests</t>
  </si>
  <si>
    <t xml:space="preserve">Request Asset; Fulfill Asset</t>
  </si>
  <si>
    <t xml:space="preserve">All employees; EX Asset Fulfillment</t>
  </si>
  <si>
    <t xml:space="preserve">TABLES / DATA MODEL - one row per table. Tip: for each table, ask 'who writes it, who reads it, what fires when a row changes, who can see it?'</t>
  </si>
  <si>
    <t xml:space="preserve">Table ID</t>
  </si>
  <si>
    <t xml:space="preserve">Table Name</t>
  </si>
  <si>
    <t xml:space="preserve">Label</t>
  </si>
  <si>
    <t xml:space="preserve">Extends (Parent Table)</t>
  </si>
  <si>
    <t xml:space="preserve">Child Tables</t>
  </si>
  <si>
    <t xml:space="preserve">Primary Key</t>
  </si>
  <si>
    <t xml:space="preserve">Display Field</t>
  </si>
  <si>
    <t xml:space="preserve">Record Volume</t>
  </si>
  <si>
    <t xml:space="preserve">Retention / Archive</t>
  </si>
  <si>
    <t xml:space="preserve">Important Fields</t>
  </si>
  <si>
    <t xml:space="preserve">Sensitive Data</t>
  </si>
  <si>
    <t xml:space="preserve">Tables This References</t>
  </si>
  <si>
    <t xml:space="preserve">Tables Referencing This</t>
  </si>
  <si>
    <t xml:space="preserve">Many-to-Many Relationships</t>
  </si>
  <si>
    <t xml:space="preserve">Dependency Notes</t>
  </si>
  <si>
    <t xml:space="preserve">Business Rules</t>
  </si>
  <si>
    <t xml:space="preserve">Client Scripts</t>
  </si>
  <si>
    <t xml:space="preserve">UI Policies</t>
  </si>
  <si>
    <t xml:space="preserve">Script Includes</t>
  </si>
  <si>
    <t xml:space="preserve">Scheduled Processes</t>
  </si>
  <si>
    <t xml:space="preserve">Other Automation</t>
  </si>
  <si>
    <t xml:space="preserve">Read ACLs</t>
  </si>
  <si>
    <t xml:space="preserve">Create ACLs</t>
  </si>
  <si>
    <t xml:space="preserve">Write ACLs</t>
  </si>
  <si>
    <t xml:space="preserve">Delete ACLs</t>
  </si>
  <si>
    <t xml:space="preserve">Roles</t>
  </si>
  <si>
    <t xml:space="preserve">Groups</t>
  </si>
  <si>
    <t xml:space="preserve">Sensitive-Data Restrictions</t>
  </si>
  <si>
    <t xml:space="preserve">Written To By (systems)</t>
  </si>
  <si>
    <t xml:space="preserve">Read By (systems)</t>
  </si>
  <si>
    <t xml:space="preserve">APIs</t>
  </si>
  <si>
    <t xml:space="preserve">Import Sets</t>
  </si>
  <si>
    <t xml:space="preserve">Transform Maps</t>
  </si>
  <si>
    <t xml:space="preserve">MID Server Dependencies</t>
  </si>
  <si>
    <t xml:space="preserve">Customized OOTB Objects</t>
  </si>
  <si>
    <t xml:space="preserve">Reason for Customization</t>
  </si>
  <si>
    <t xml:space="preserve">Upgrade Implications</t>
  </si>
  <si>
    <t xml:space="preserve">Technical Debt</t>
  </si>
  <si>
    <t xml:space="preserve">Unknowns (link IDs)</t>
  </si>
  <si>
    <t xml:space="preserve">Open Questions</t>
  </si>
  <si>
    <t xml:space="preserve">EX-TBL-001</t>
  </si>
  <si>
    <t xml:space="preserve">task</t>
  </si>
  <si>
    <t xml:space="preserve">One row per asset request</t>
  </si>
  <si>
    <t xml:space="preserve">sys_id</t>
  </si>
  <si>
    <t xml:space="preserve">number</t>
  </si>
  <si>
    <t xml:space="preserve">~400/month (fictional)</t>
  </si>
  <si>
    <t xml:space="preserve">u_cost_center; u_asset_type; state</t>
  </si>
  <si>
    <t xml:space="preserve">None identified</t>
  </si>
  <si>
    <t xml:space="preserve">Catalog + flow</t>
  </si>
  <si>
    <t xml:space="preserve">sys_user; cmn_cost_center</t>
  </si>
  <si>
    <t xml:space="preserve">EX-U-001</t>
  </si>
  <si>
    <t xml:space="preserve">Fictional</t>
  </si>
  <si>
    <t xml:space="preserve">FIELDS - document only fields that matter: referenced by automation, ACLs, reports, integrations, or that you had to ask about. Column T is the point: what happens downstream when this value changes?</t>
  </si>
  <si>
    <t xml:space="preserve">Field ID</t>
  </si>
  <si>
    <t xml:space="preserve">Field Name (element)</t>
  </si>
  <si>
    <t xml:space="preserve">Type</t>
  </si>
  <si>
    <t xml:space="preserve">Length</t>
  </si>
  <si>
    <t xml:space="preserve">Reference Table</t>
  </si>
  <si>
    <t xml:space="preserve">Reference Qualifier</t>
  </si>
  <si>
    <t xml:space="preserve">Default Value</t>
  </si>
  <si>
    <t xml:space="preserve">Mandatory</t>
  </si>
  <si>
    <t xml:space="preserve">Read-only</t>
  </si>
  <si>
    <t xml:space="preserve">Choice Field</t>
  </si>
  <si>
    <t xml:space="preserve">Choices</t>
  </si>
  <si>
    <t xml:space="preserve">Calculated</t>
  </si>
  <si>
    <t xml:space="preserve">Attributes</t>
  </si>
  <si>
    <t xml:space="preserve">Dictionary Overrides</t>
  </si>
  <si>
    <t xml:space="preserve">Business Purpose</t>
  </si>
  <si>
    <t xml:space="preserve">Read By (rules/flows/reports)</t>
  </si>
  <si>
    <t xml:space="preserve">Written By (rules/flows/integrations)</t>
  </si>
  <si>
    <t xml:space="preserve">Downstream Behavior (what changes when the value changes)</t>
  </si>
  <si>
    <t xml:space="preserve">EX-FLD-001</t>
  </si>
  <si>
    <t xml:space="preserve">u_cost_center</t>
  </si>
  <si>
    <t xml:space="preserve">Cost Center</t>
  </si>
  <si>
    <t xml:space="preserve">Reference</t>
  </si>
  <si>
    <t xml:space="preserve">cmn_cost_center</t>
  </si>
  <si>
    <t xml:space="preserve">active=true</t>
  </si>
  <si>
    <t xml:space="preserve">Yes</t>
  </si>
  <si>
    <t xml:space="preserve">Charges the asset to a department</t>
  </si>
  <si>
    <t xml:space="preserve">Fulfillment flow; Finance report</t>
  </si>
  <si>
    <t xml:space="preserve">EX Set Cost Center Default; requester</t>
  </si>
  <si>
    <t xml:space="preserve">Selects approver group in flow; changes Finance report grouping</t>
  </si>
  <si>
    <t xml:space="preserve">SERVICE CATALOG ITEMS - trace one item end-to-end: what the requester sees -&gt; what records/approvals/tasks/notifications it creates.</t>
  </si>
  <si>
    <t xml:space="preserve">Catalog Item ID</t>
  </si>
  <si>
    <t xml:space="preserve">Catalog</t>
  </si>
  <si>
    <t xml:space="preserve">Category</t>
  </si>
  <si>
    <t xml:space="preserve">Name</t>
  </si>
  <si>
    <t xml:space="preserve">Technical Name</t>
  </si>
  <si>
    <t xml:space="preserve">Available To (user criteria / roles)</t>
  </si>
  <si>
    <t xml:space="preserve">Variables</t>
  </si>
  <si>
    <t xml:space="preserve">Variable Sets</t>
  </si>
  <si>
    <t xml:space="preserve">Catalog Client Scripts</t>
  </si>
  <si>
    <t xml:space="preserve">Reference Qualifiers</t>
  </si>
  <si>
    <t xml:space="preserve">Subflows</t>
  </si>
  <si>
    <t xml:space="preserve">Approvals</t>
  </si>
  <si>
    <t xml:space="preserve">Tasks</t>
  </si>
  <si>
    <t xml:space="preserve">Notifications</t>
  </si>
  <si>
    <t xml:space="preserve">Tables Touched</t>
  </si>
  <si>
    <t xml:space="preserve">Users / Groups (requesters, fulfillers)</t>
  </si>
  <si>
    <t xml:space="preserve">Known Issues</t>
  </si>
  <si>
    <t xml:space="preserve">EX-CI-001</t>
  </si>
  <si>
    <t xml:space="preserve">Employee Services</t>
  </si>
  <si>
    <t xml:space="preserve">Hardware</t>
  </si>
  <si>
    <t xml:space="preserve">ex_laptop_request</t>
  </si>
  <si>
    <t xml:space="preserve">Request a laptop</t>
  </si>
  <si>
    <t xml:space="preserve">All employees</t>
  </si>
  <si>
    <t xml:space="preserve">laptop_model; cost_center; justification</t>
  </si>
  <si>
    <t xml:space="preserve">EX Get Manager Approval</t>
  </si>
  <si>
    <t xml:space="preserve">Manager</t>
  </si>
  <si>
    <t xml:space="preserve">Fulfillment task -&gt; EX Asset Fulfillment</t>
  </si>
  <si>
    <t xml:space="preserve">Approval request; Shipped</t>
  </si>
  <si>
    <t xml:space="preserve">sc_request; sc_req_item; u_ex_asset_request</t>
  </si>
  <si>
    <t xml:space="preserve">VARIABLES - one row per variable that drives behavior (approvals, routing, integrations). Skip purely cosmetic ones.</t>
  </si>
  <si>
    <t xml:space="preserve">Variable ID</t>
  </si>
  <si>
    <t xml:space="preserve">Variable Name</t>
  </si>
  <si>
    <t xml:space="preserve">Default</t>
  </si>
  <si>
    <t xml:space="preserve">Visibility Conditions</t>
  </si>
  <si>
    <t xml:space="preserve">Feeds Into (flow/script/task field that reads it)</t>
  </si>
  <si>
    <t xml:space="preserve">EX-VAR-001</t>
  </si>
  <si>
    <t xml:space="preserve">laptop_model</t>
  </si>
  <si>
    <t xml:space="preserve">Laptop Model</t>
  </si>
  <si>
    <t xml:space="preserve">Select Box</t>
  </si>
  <si>
    <t xml:space="preserve">Flow branches on model to pick approver; sets u_asset_type</t>
  </si>
  <si>
    <t xml:space="preserve">FLOWS / AUTOMATION - the 2 questions: (1) if this flow stops, what breaks? (col AE)  (2) if I change table/field X, which flows are affected? (filter 'Tables Read/Updated').</t>
  </si>
  <si>
    <t xml:space="preserve">Flow ID</t>
  </si>
  <si>
    <t xml:space="preserve">Flow Name</t>
  </si>
  <si>
    <t xml:space="preserve">Component Type</t>
  </si>
  <si>
    <t xml:space="preserve">Trigger</t>
  </si>
  <si>
    <t xml:space="preserve">Trigger Conditions</t>
  </si>
  <si>
    <t xml:space="preserve">Inputs</t>
  </si>
  <si>
    <t xml:space="preserve">Outputs</t>
  </si>
  <si>
    <t xml:space="preserve">Tables Read</t>
  </si>
  <si>
    <t xml:space="preserve">Tables Created</t>
  </si>
  <si>
    <t xml:space="preserve">Tables Updated</t>
  </si>
  <si>
    <t xml:space="preserve">Subflows Called</t>
  </si>
  <si>
    <t xml:space="preserve">Actions Used</t>
  </si>
  <si>
    <t xml:space="preserve">Script Actions</t>
  </si>
  <si>
    <t xml:space="preserve">Error Handling</t>
  </si>
  <si>
    <t xml:space="preserve">Failure Behavior</t>
  </si>
  <si>
    <t xml:space="preserve">Logging</t>
  </si>
  <si>
    <t xml:space="preserve">Retry Behavior</t>
  </si>
  <si>
    <t xml:space="preserve">If This Stops, What Business Process Breaks?</t>
  </si>
  <si>
    <t xml:space="preserve">EX-FLOW-001</t>
  </si>
  <si>
    <t xml:space="preserve">x_ex_assetreq.laptop_fulfillment</t>
  </si>
  <si>
    <t xml:space="preserve">Orchestrates approval, task, and record updates</t>
  </si>
  <si>
    <t xml:space="preserve">Service Catalog (request item created)</t>
  </si>
  <si>
    <t xml:space="preserve">Catalog item = EX Laptop Request</t>
  </si>
  <si>
    <t xml:space="preserve">sc_req_item; sys_user</t>
  </si>
  <si>
    <t xml:space="preserve">u_ex_asset_request; sc_task</t>
  </si>
  <si>
    <t xml:space="preserve">u_ex_asset_request; sc_req_item</t>
  </si>
  <si>
    <t xml:space="preserve">None observed (example)</t>
  </si>
  <si>
    <t xml:space="preserve">UNKNOWN</t>
  </si>
  <si>
    <t xml:space="preserve">Flow execution only</t>
  </si>
  <si>
    <t xml:space="preserve">None</t>
  </si>
  <si>
    <t xml:space="preserve">No laptop requests get approved or fulfilled; requests sit in 'Open'</t>
  </si>
  <si>
    <t xml:space="preserve">No alerting on failed executions (example)</t>
  </si>
  <si>
    <t xml:space="preserve">SCRIPTS &amp; RULES - Business Rules, Client Scripts, Script Includes, UI Actions, etc. Hunt for hidden dependencies: hard-coded sys_ids, group/user names, other tables written, calls to other scripts (col S).</t>
  </si>
  <si>
    <t xml:space="preserve">Script ID</t>
  </si>
  <si>
    <t xml:space="preserve">Script Type</t>
  </si>
  <si>
    <t xml:space="preserve">Trigger / When It Runs</t>
  </si>
  <si>
    <t xml:space="preserve">Order</t>
  </si>
  <si>
    <t xml:space="preserve">Conditions</t>
  </si>
  <si>
    <t xml:space="preserve">Purpose (verified, or write UNKNOWN)</t>
  </si>
  <si>
    <t xml:space="preserve">Reads</t>
  </si>
  <si>
    <t xml:space="preserve">Writes</t>
  </si>
  <si>
    <t xml:space="preserve">Functions / Script Includes Called</t>
  </si>
  <si>
    <t xml:space="preserve">Called By</t>
  </si>
  <si>
    <t xml:space="preserve">Tables Affected</t>
  </si>
  <si>
    <t xml:space="preserve">Other Dependencies</t>
  </si>
  <si>
    <t xml:space="preserve">Hard-coded Values (sys_ids, names, emails, URLs)</t>
  </si>
  <si>
    <t xml:space="preserve">Potential Side Effects</t>
  </si>
  <si>
    <t xml:space="preserve">Performance Concerns</t>
  </si>
  <si>
    <t xml:space="preserve">Security Concerns</t>
  </si>
  <si>
    <t xml:space="preserve">EX-SCR-001</t>
  </si>
  <si>
    <t xml:space="preserve">Before insert</t>
  </si>
  <si>
    <t xml:space="preserve">100</t>
  </si>
  <si>
    <t xml:space="preserve">cost center is empty</t>
  </si>
  <si>
    <t xml:space="preserve">UNKNOWN - appears to default cost center; reason not verified</t>
  </si>
  <si>
    <t xml:space="preserve">sys_user.department</t>
  </si>
  <si>
    <t xml:space="preserve">u_ex_asset_request.u_cost_center</t>
  </si>
  <si>
    <t xml:space="preserve">EXCostCenterUtil.getDefault()</t>
  </si>
  <si>
    <t xml:space="preserve">One hard-coded group sys_id in line 14 (example)</t>
  </si>
  <si>
    <t xml:space="preserve">Overrides requester choice if department blank</t>
  </si>
  <si>
    <t xml:space="preserve">Hard-coded sys_id</t>
  </si>
  <si>
    <t xml:space="preserve">INTEGRATIONS - every connection in or out. An integration with no known owner, credential expiry or alerting is a risk row waiting to be written.</t>
  </si>
  <si>
    <t xml:space="preserve">Integration ID</t>
  </si>
  <si>
    <t xml:space="preserve">Integration Name</t>
  </si>
  <si>
    <t xml:space="preserve">External System</t>
  </si>
  <si>
    <t xml:space="preserve">Direction</t>
  </si>
  <si>
    <t xml:space="preserve">Technology</t>
  </si>
  <si>
    <t xml:space="preserve">API / Service Used</t>
  </si>
  <si>
    <t xml:space="preserve">Endpoint / Connection</t>
  </si>
  <si>
    <t xml:space="preserve">Authentication</t>
  </si>
  <si>
    <t xml:space="preserve">Integration User</t>
  </si>
  <si>
    <t xml:space="preserve">Credential Owner / Expiry</t>
  </si>
  <si>
    <t xml:space="preserve">MID Server</t>
  </si>
  <si>
    <t xml:space="preserve">Import Set</t>
  </si>
  <si>
    <t xml:space="preserve">Target Table</t>
  </si>
  <si>
    <t xml:space="preserve">Schedule</t>
  </si>
  <si>
    <t xml:space="preserve">Data Exchanged</t>
  </si>
  <si>
    <t xml:space="preserve">Failure Logging</t>
  </si>
  <si>
    <t xml:space="preserve">Alerting</t>
  </si>
  <si>
    <t xml:space="preserve">Retry / Recovery</t>
  </si>
  <si>
    <t xml:space="preserve">External Contact</t>
  </si>
  <si>
    <t xml:space="preserve">EX-INT-001</t>
  </si>
  <si>
    <t xml:space="preserve">EXAMPLE HR System (fictional)</t>
  </si>
  <si>
    <t xml:space="preserve">Outbound</t>
  </si>
  <si>
    <t xml:space="preserve">Fetch employee manager/cost center</t>
  </si>
  <si>
    <t xml:space="preserve">REST</t>
  </si>
  <si>
    <t xml:space="preserve">https://hr.example.invalid/api (fictional)</t>
  </si>
  <si>
    <t xml:space="preserve">OAuth 2.0</t>
  </si>
  <si>
    <t xml:space="preserve">Called from fulfillment flow</t>
  </si>
  <si>
    <t xml:space="preserve">employee id -&gt; manager, cost center</t>
  </si>
  <si>
    <t xml:space="preserve">None known</t>
  </si>
  <si>
    <t xml:space="preserve">SECURITY - roles, groups and ACLs in one table (filter by Record Type). Answers: who can SEE it, CHANGE it, EXECUTE it, and what happens if a role/group/ACL changes?</t>
  </si>
  <si>
    <t xml:space="preserve">Security ID</t>
  </si>
  <si>
    <t xml:space="preserve">Record Type</t>
  </si>
  <si>
    <t xml:space="preserve">Name (role / group / ACL name)</t>
  </si>
  <si>
    <t xml:space="preserve">Table (ACL)</t>
  </si>
  <si>
    <t xml:space="preserve">Field (ACL)</t>
  </si>
  <si>
    <t xml:space="preserve">Operation (ACL)</t>
  </si>
  <si>
    <t xml:space="preserve">ACL Condition</t>
  </si>
  <si>
    <t xml:space="preserve">ACL Script</t>
  </si>
  <si>
    <t xml:space="preserve">Required Roles / Parent Roles / Group Roles</t>
  </si>
  <si>
    <t xml:space="preserve">Assigned Users / Members (counts or names)</t>
  </si>
  <si>
    <t xml:space="preserve">Assigned Groups</t>
  </si>
  <si>
    <t xml:space="preserve">Apps / Modules Affected</t>
  </si>
  <si>
    <t xml:space="preserve">Privileges / Effect (who can see/change/execute)</t>
  </si>
  <si>
    <t xml:space="preserve">Manager / Owner</t>
  </si>
  <si>
    <t xml:space="preserve">Business Function</t>
  </si>
  <si>
    <t xml:space="preserve">Responsibilities</t>
  </si>
  <si>
    <t xml:space="preserve">What Happens If This Changes?</t>
  </si>
  <si>
    <t xml:space="preserve">Security Risk</t>
  </si>
  <si>
    <t xml:space="preserve">EX-SEC-001</t>
  </si>
  <si>
    <t xml:space="preserve">Work asset requests</t>
  </si>
  <si>
    <t xml:space="preserve">Contains: (none)</t>
  </si>
  <si>
    <t xml:space="preserve">EX Asset Fulfillment</t>
  </si>
  <si>
    <t xml:space="preserve">Read/write u_ex_asset_request</t>
  </si>
  <si>
    <t xml:space="preserve">Fulfillers lose access to request records</t>
  </si>
  <si>
    <t xml:space="preserve">EX-SEC-002</t>
  </si>
  <si>
    <t xml:space="preserve">*</t>
  </si>
  <si>
    <t xml:space="preserve">write</t>
  </si>
  <si>
    <t xml:space="preserve">Only fulfillers can edit</t>
  </si>
  <si>
    <t xml:space="preserve">Widening it lets requesters edit approved requests</t>
  </si>
  <si>
    <t xml:space="preserve">BUSINESS PROCESSES - the spine of this system. Pick 3-5, trace each end-to-end, then link every object you meet back to its process.</t>
  </si>
  <si>
    <t xml:space="preserve">Process ID</t>
  </si>
  <si>
    <t xml:space="preserve">Process Name</t>
  </si>
  <si>
    <t xml:space="preserve">Process Owner</t>
  </si>
  <si>
    <t xml:space="preserve">Users Involved</t>
  </si>
  <si>
    <t xml:space="preserve">Process Steps (numbered)</t>
  </si>
  <si>
    <t xml:space="preserve">ServiceNow Application(s)</t>
  </si>
  <si>
    <t xml:space="preserve">Key Fields</t>
  </si>
  <si>
    <t xml:space="preserve">Scripts</t>
  </si>
  <si>
    <t xml:space="preserve">Reports</t>
  </si>
  <si>
    <t xml:space="preserve">Roles / Groups</t>
  </si>
  <si>
    <t xml:space="preserve">Manual Steps</t>
  </si>
  <si>
    <t xml:space="preserve">Failure Points</t>
  </si>
  <si>
    <t xml:space="preserve">Workarounds</t>
  </si>
  <si>
    <t xml:space="preserve">Known Pain Points</t>
  </si>
  <si>
    <t xml:space="preserve">Business Impact If It Fails</t>
  </si>
  <si>
    <t xml:space="preserve">Volume / Frequency</t>
  </si>
  <si>
    <t xml:space="preserve">Priority to Trace</t>
  </si>
  <si>
    <t xml:space="preserve">SME Validated By</t>
  </si>
  <si>
    <t xml:space="preserve">SME Validated Date</t>
  </si>
  <si>
    <t xml:space="preserve">EX-BP-001</t>
  </si>
  <si>
    <t xml:space="preserve">Employees get approved equipment quickly</t>
  </si>
  <si>
    <t xml:space="preserve">(example) IT Operations Manager</t>
  </si>
  <si>
    <t xml:space="preserve">Employee submits catalog item</t>
  </si>
  <si>
    <t xml:space="preserve">Employee; Manager; Fulfiller</t>
  </si>
  <si>
    <t xml:space="preserve">1 Employee submits. 2 Manager approves. 3 Fulfillment task created. 4 Fulfiller ships. 5 Asset record updated.</t>
  </si>
  <si>
    <t xml:space="preserve">sc_req_item; u_ex_asset_request</t>
  </si>
  <si>
    <t xml:space="preserve">Shipping handled outside ServiceNow</t>
  </si>
  <si>
    <t xml:space="preserve">HR lookup fails -&gt; flow stalls (no alert)</t>
  </si>
  <si>
    <t xml:space="preserve">New hires without equipment</t>
  </si>
  <si>
    <t xml:space="preserve">DEPENDENCIES - one row = 'Source --relationship--&gt; Target'. Use the SAME names as Object Inventory so Impact Check can find them. Add the reverse reading for free: anything pointing AT an object is a dependent.</t>
  </si>
  <si>
    <t xml:space="preserve">Dependency ID</t>
  </si>
  <si>
    <t xml:space="preserve">Source Object ID</t>
  </si>
  <si>
    <t xml:space="preserve">Source Type</t>
  </si>
  <si>
    <t xml:space="preserve">Source Name</t>
  </si>
  <si>
    <t xml:space="preserve">Relationship</t>
  </si>
  <si>
    <t xml:space="preserve">Target Object ID</t>
  </si>
  <si>
    <t xml:space="preserve">Target Type</t>
  </si>
  <si>
    <t xml:space="preserve">Target Name</t>
  </si>
  <si>
    <t xml:space="preserve">Dependency Type</t>
  </si>
  <si>
    <t xml:space="preserve">Evidence</t>
  </si>
  <si>
    <t xml:space="preserve">Date Recorded</t>
  </si>
  <si>
    <t xml:space="preserve">Helper: Inbound # (do not edit)</t>
  </si>
  <si>
    <t xml:space="preserve">Helper: Outbound # (do not edit)</t>
  </si>
  <si>
    <t xml:space="preserve">EX-DEP-001</t>
  </si>
  <si>
    <t xml:space="preserve">launches</t>
  </si>
  <si>
    <t xml:space="preserve">Automation</t>
  </si>
  <si>
    <t xml:space="preserve">EX-DEP-002</t>
  </si>
  <si>
    <t xml:space="preserve">calls</t>
  </si>
  <si>
    <t xml:space="preserve">EX-DEP-003</t>
  </si>
  <si>
    <t xml:space="preserve">updates</t>
  </si>
  <si>
    <t xml:space="preserve">Data</t>
  </si>
  <si>
    <t xml:space="preserve">EX-DEP-004</t>
  </si>
  <si>
    <t xml:space="preserve">EX-DEP-005</t>
  </si>
  <si>
    <t xml:space="preserve">runs on</t>
  </si>
  <si>
    <t xml:space="preserve">Code</t>
  </si>
  <si>
    <t xml:space="preserve">EX-DEP-006</t>
  </si>
  <si>
    <t xml:space="preserve">EX-DEP-007</t>
  </si>
  <si>
    <t xml:space="preserve">protects</t>
  </si>
  <si>
    <t xml:space="preserve">EX-DEP-008</t>
  </si>
  <si>
    <t xml:space="preserve">requires role</t>
  </si>
  <si>
    <t xml:space="preserve">EX-DEP-009</t>
  </si>
  <si>
    <t xml:space="preserve">EX Asset Requests Report</t>
  </si>
  <si>
    <t xml:space="preserve">reports on</t>
  </si>
  <si>
    <t xml:space="preserve">Reporting</t>
  </si>
  <si>
    <t xml:space="preserve">IMPACT CHECK - 'If I change this, what could break?'</t>
  </si>
  <si>
    <t xml:space="preserve">Object name (exact match to Dependencies sheet):</t>
  </si>
  <si>
    <t xml:space="preserve">&lt;- type an object name (example value is fictional). Then repeat for each dependent you find: that is your second-hop impact.</t>
  </si>
  <si>
    <t xml:space="preserve">Rows that point AT this object (dependents):</t>
  </si>
  <si>
    <t xml:space="preserve">Rows this object points TO (it relies on):</t>
  </si>
  <si>
    <t xml:space="preserve">Confidence warning:</t>
  </si>
  <si>
    <t xml:space="preserve">IF I CHANGE THIS, THESE COULD BREAK (dependents)</t>
  </si>
  <si>
    <t xml:space="preserve">#</t>
  </si>
  <si>
    <t xml:space="preserve">Dependent (source object)</t>
  </si>
  <si>
    <t xml:space="preserve">Other Object Type</t>
  </si>
  <si>
    <t xml:space="preserve">THIS OBJECT RELIES ON (its dependencies)</t>
  </si>
  <si>
    <t xml:space="preserve">Depends On (target object)</t>
  </si>
  <si>
    <t xml:space="preserve">Shows first 25 matches per list. If B5 or B6 &gt; 25, filter the Dependencies sheet directly.</t>
  </si>
  <si>
    <t xml:space="preserve">RISK / TECHNICAL DEBT REGISTER - Overall Risk is automatic: Likelihood (1-3) x Severity (1-4): &gt;=9 Critical, 6-8 High, 3-5 Medium, 1-2 Low. Rows marked 'Suspected' are prompts to verify, not findings.</t>
  </si>
  <si>
    <t xml:space="preserve">Risk ID</t>
  </si>
  <si>
    <t xml:space="preserve">Date Discovered</t>
  </si>
  <si>
    <t xml:space="preserve">Component</t>
  </si>
  <si>
    <t xml:space="preserve">Risk Description</t>
  </si>
  <si>
    <t xml:space="preserve">Business Impact</t>
  </si>
  <si>
    <t xml:space="preserve">Technical Impact</t>
  </si>
  <si>
    <t xml:space="preserve">Likelihood</t>
  </si>
  <si>
    <t xml:space="preserve">Severity</t>
  </si>
  <si>
    <t xml:space="preserve">Overall Risk (auto)</t>
  </si>
  <si>
    <t xml:space="preserve">Owner</t>
  </si>
  <si>
    <t xml:space="preserve">Recommended Action</t>
  </si>
  <si>
    <t xml:space="preserve">Target Date</t>
  </si>
  <si>
    <t xml:space="preserve">Mitigation</t>
  </si>
  <si>
    <t xml:space="preserve">Related Object ID</t>
  </si>
  <si>
    <t xml:space="preserve">Access Needed to Verify</t>
  </si>
  <si>
    <t xml:space="preserve">R-001</t>
  </si>
  <si>
    <t xml:space="preserve">Platform / staffing</t>
  </si>
  <si>
    <t xml:space="preserve">Sole administrator dependency has materialized: previous administrator left</t>
  </si>
  <si>
    <t xml:space="preserve">No known owner for platform changes or break-fix</t>
  </si>
  <si>
    <t xml:space="preserve">Undocumented configuration; unknown customizations</t>
  </si>
  <si>
    <t xml:space="preserve">Establish platform owner, backup admin, escalation path (see Transition Checklist)</t>
  </si>
  <si>
    <t xml:space="preserve">Open</t>
  </si>
  <si>
    <t xml:space="preserve">Stated by workbook owner at project start</t>
  </si>
  <si>
    <t xml:space="preserve">Real entry - not an example. Add date.</t>
  </si>
  <si>
    <t xml:space="preserve">R-002</t>
  </si>
  <si>
    <t xml:space="preserve">Access</t>
  </si>
  <si>
    <t xml:space="preserve">Current access is limited; may be asked to fix issues without access to inspect or change configuration</t>
  </si>
  <si>
    <t xml:space="preserve">Delayed resolution; accountability without authority</t>
  </si>
  <si>
    <t xml:space="preserve">Use Access Roadmap to request access tied to specific responsibilities</t>
  </si>
  <si>
    <t xml:space="preserve">Stated by workbook owner</t>
  </si>
  <si>
    <t xml:space="preserve">Real entry - not an example.</t>
  </si>
  <si>
    <t xml:space="preserve">R-003</t>
  </si>
  <si>
    <t xml:space="preserve">Unknown customizations</t>
  </si>
  <si>
    <t xml:space="preserve">HYPOTHESIS TO CHECK: Customized OOTB or custom objects exist with no documented purpose</t>
  </si>
  <si>
    <t xml:space="preserve">Suspected</t>
  </si>
  <si>
    <t xml:space="preserve">Assumption: common in inherited instances. Not evidence about YOUR instance. Verify, then set Likelihood/Severity and Status=Open, or Close.</t>
  </si>
  <si>
    <t xml:space="preserve">R-004</t>
  </si>
  <si>
    <t xml:space="preserve">No documented integrations</t>
  </si>
  <si>
    <t xml:space="preserve">HYPOTHESIS TO CHECK: Inbound/outbound connections exist that nobody has inventoried</t>
  </si>
  <si>
    <t xml:space="preserve">R-005</t>
  </si>
  <si>
    <t xml:space="preserve">Hard-coded logic</t>
  </si>
  <si>
    <t xml:space="preserve">HYPOTHESIS TO CHECK: Scripts or flows contain sys_ids, user/group names, emails, or URLs</t>
  </si>
  <si>
    <t xml:space="preserve">R-006</t>
  </si>
  <si>
    <t xml:space="preserve">Scripts with unclear purpose</t>
  </si>
  <si>
    <t xml:space="preserve">HYPOTHESIS TO CHECK: Business rules/script includes nobody can explain</t>
  </si>
  <si>
    <t xml:space="preserve">R-007</t>
  </si>
  <si>
    <t xml:space="preserve">Inactive former-employee accounts</t>
  </si>
  <si>
    <t xml:space="preserve">HYPOTHESIS TO CHECK: Departed staff still own records, integrations, jobs, or hold roles</t>
  </si>
  <si>
    <t xml:space="preserve">R-008</t>
  </si>
  <si>
    <t xml:space="preserve">Excessive permissions</t>
  </si>
  <si>
    <t xml:space="preserve">HYPOTHESIS TO CHECK: Too many users/groups hold admin or powerful roles</t>
  </si>
  <si>
    <t xml:space="preserve">R-009</t>
  </si>
  <si>
    <t xml:space="preserve">Critical workflows with no monitoring</t>
  </si>
  <si>
    <t xml:space="preserve">HYPOTHESIS TO CHECK: Flow or integration failures would go unnoticed</t>
  </si>
  <si>
    <t xml:space="preserve">R-010</t>
  </si>
  <si>
    <t xml:space="preserve">No error handling</t>
  </si>
  <si>
    <t xml:space="preserve">HYPOTHESIS TO CHECK: Flows/scripts fail silently or leave records in limbo</t>
  </si>
  <si>
    <t xml:space="preserve">R-011</t>
  </si>
  <si>
    <t xml:space="preserve">Manual workarounds</t>
  </si>
  <si>
    <t xml:space="preserve">HYPOTHESIS TO CHECK: People compensate for broken or missing automation</t>
  </si>
  <si>
    <t xml:space="preserve">R-012</t>
  </si>
  <si>
    <t xml:space="preserve">Customized OOTB functionality</t>
  </si>
  <si>
    <t xml:space="preserve">HYPOTHESIS TO CHECK: Upgrade will collide with changes to OOTB objects</t>
  </si>
  <si>
    <t xml:space="preserve">R-013</t>
  </si>
  <si>
    <t xml:space="preserve">No test coverage</t>
  </si>
  <si>
    <t xml:space="preserve">HYPOTHESIS TO CHECK: No ATF or documented regression tests for critical processes</t>
  </si>
  <si>
    <t xml:space="preserve">R-014</t>
  </si>
  <si>
    <t xml:space="preserve">No change documentation</t>
  </si>
  <si>
    <t xml:space="preserve">HYPOTHESIS TO CHECK: No record of who changed what and why</t>
  </si>
  <si>
    <t xml:space="preserve">R-015</t>
  </si>
  <si>
    <t xml:space="preserve">Unknown ownership</t>
  </si>
  <si>
    <t xml:space="preserve">HYPOTHESIS TO CHECK: Important objects have no business or technical owner</t>
  </si>
  <si>
    <t xml:space="preserve">R-016</t>
  </si>
  <si>
    <t xml:space="preserve">Upgrade risks</t>
  </si>
  <si>
    <t xml:space="preserve">HYPOTHESIS TO CHECK: Behind on upgrades, skipped upgrades, or unsupported customizations</t>
  </si>
  <si>
    <t xml:space="preserve">R-017</t>
  </si>
  <si>
    <t xml:space="preserve">Unsupported customizations</t>
  </si>
  <si>
    <t xml:space="preserve">HYPOTHESIS TO CHECK: Direct changes to platform internals or unsupported approaches</t>
  </si>
  <si>
    <t xml:space="preserve">R-018</t>
  </si>
  <si>
    <t xml:space="preserve">Expiring credentials/certificates</t>
  </si>
  <si>
    <t xml:space="preserve">HYPOTHESIS TO CHECK: Integration credentials or certificates owned by departed staff</t>
  </si>
  <si>
    <t xml:space="preserve">EX-R-001</t>
  </si>
  <si>
    <t xml:space="preserve">Business rule has hard-coded group sys_id</t>
  </si>
  <si>
    <t xml:space="preserve">Wrong approver if group is replaced</t>
  </si>
  <si>
    <t xml:space="preserve">Replace with property/lookup</t>
  </si>
  <si>
    <t xml:space="preserve">UNKNOWNS - the antidote to guessing. Write the question, never a made-up answer. Seeded rows are real questions that apply to almost any inherited instance; answer them for YOUR instance.</t>
  </si>
  <si>
    <t xml:space="preserve">Unknown ID</t>
  </si>
  <si>
    <t xml:space="preserve">Question</t>
  </si>
  <si>
    <t xml:space="preserve">Related Object / ID</t>
  </si>
  <si>
    <t xml:space="preserve">Why It Matters</t>
  </si>
  <si>
    <t xml:space="preserve">Investigation Method</t>
  </si>
  <si>
    <t xml:space="preserve">Who To Ask (SME)</t>
  </si>
  <si>
    <t xml:space="preserve">Priority</t>
  </si>
  <si>
    <t xml:space="preserve">Answer</t>
  </si>
  <si>
    <t xml:space="preserve">Date Raised</t>
  </si>
  <si>
    <t xml:space="preserve">Date Resolved</t>
  </si>
  <si>
    <t xml:space="preserve">U-001</t>
  </si>
  <si>
    <t xml:space="preserve">Who is the platform owner and who is the business owner for ServiceNow overall?</t>
  </si>
  <si>
    <t xml:space="preserve">Decisions and escalations have no home</t>
  </si>
  <si>
    <t xml:space="preserve">Ask manager/CIO office; check ServiceNow contract/Now Support contacts</t>
  </si>
  <si>
    <t xml:space="preserve">U-002</t>
  </si>
  <si>
    <t xml:space="preserve">Who are the current administrators (including vendor/partner support)?</t>
  </si>
  <si>
    <t xml:space="preserve">Defines who can actually make and deploy changes</t>
  </si>
  <si>
    <t xml:space="preserve">User admin list (needs access) or ask security/IT</t>
  </si>
  <si>
    <t xml:space="preserve">U-003</t>
  </si>
  <si>
    <t xml:space="preserve">Which instances exist (prod, test, dev) and which one is development done in?</t>
  </si>
  <si>
    <t xml:space="preserve">Changes in the wrong place can hit production</t>
  </si>
  <si>
    <t xml:space="preserve">Ask; check instance URLs; look for clone dates in sub-prod</t>
  </si>
  <si>
    <t xml:space="preserve">U-004</t>
  </si>
  <si>
    <t xml:space="preserve">How are changes moved to production today (update sets, pipeline, direct edits)?</t>
  </si>
  <si>
    <t xml:space="preserve">Defines change risk and who needs deploy rights</t>
  </si>
  <si>
    <t xml:space="preserve">Ask SMEs; later review update sets/versions</t>
  </si>
  <si>
    <t xml:space="preserve">U-005</t>
  </si>
  <si>
    <t xml:space="preserve">What is the ServiceNow version and when was the last/next upgrade?</t>
  </si>
  <si>
    <t xml:space="preserve">Upgrade risk and customization compatibility</t>
  </si>
  <si>
    <t xml:space="preserve">Instance info page / ask platform owner / Now Support</t>
  </si>
  <si>
    <t xml:space="preserve">U-006</t>
  </si>
  <si>
    <t xml:space="preserve">What integrations exist, who owns each external system, and who holds the credentials?</t>
  </si>
  <si>
    <t xml:space="preserve">Silent breakage when credentials/certs expire</t>
  </si>
  <si>
    <t xml:space="preserve">Ask app owners; review REST messages, import sets, MID, scheduled jobs (needs access)</t>
  </si>
  <si>
    <t xml:space="preserve">U-007</t>
  </si>
  <si>
    <t xml:space="preserve">Which scheduled jobs run, and what business process depends on each?</t>
  </si>
  <si>
    <t xml:space="preserve">Failed jobs may stop processes without warning</t>
  </si>
  <si>
    <t xml:space="preserve">Review scheduled jobs list; correlate with owners</t>
  </si>
  <si>
    <t xml:space="preserve">U-008</t>
  </si>
  <si>
    <t xml:space="preserve">Is there existing documentation, update-set history, or a handoff note from the former administrator?</t>
  </si>
  <si>
    <t xml:space="preserve">Fastest source of 'why'</t>
  </si>
  <si>
    <t xml:space="preserve">Search shared drives, email, tickets, wiki; ask HR/manager for handoff material</t>
  </si>
  <si>
    <t xml:space="preserve">U-009</t>
  </si>
  <si>
    <t xml:space="preserve">Which user accounts own records, jobs, or integrations and are inactive/departed?</t>
  </si>
  <si>
    <t xml:space="preserve">Orphaned ownership</t>
  </si>
  <si>
    <t xml:space="preserve">Reports on inactive users with assignments (needs access)</t>
  </si>
  <si>
    <t xml:space="preserve">U-010</t>
  </si>
  <si>
    <t xml:space="preserve">What testing exists for critical processes (ATF, manual scripts)?</t>
  </si>
  <si>
    <t xml:space="preserve">Determines how safely changes can be made</t>
  </si>
  <si>
    <t xml:space="preserve">Ask; review ATF suites if available</t>
  </si>
  <si>
    <t xml:space="preserve">U-011</t>
  </si>
  <si>
    <t xml:space="preserve">What am I formally expected to own, with what authority and access?</t>
  </si>
  <si>
    <t xml:space="preserve">Avoid ownership without authority</t>
  </si>
  <si>
    <t xml:space="preserve">Transition Checklist conversation with manager</t>
  </si>
  <si>
    <t xml:space="preserve">U-012</t>
  </si>
  <si>
    <t xml:space="preserve">Which 3-5 business processes matter most and who owns each?</t>
  </si>
  <si>
    <t xml:space="preserve">Focuses discovery on real work</t>
  </si>
  <si>
    <t xml:space="preserve">Stakeholder interviews</t>
  </si>
  <si>
    <t xml:space="preserve">EXAMPLE: Why does 'EX Set Cost Center Default' exist?</t>
  </si>
  <si>
    <t xml:space="preserve">Might be required by Finance; removal could break reporting</t>
  </si>
  <si>
    <t xml:space="preserve">Check script comments, update set description, ask Finance and former team</t>
  </si>
  <si>
    <t xml:space="preserve">(not answered - do not invent)</t>
  </si>
  <si>
    <t xml:space="preserve">ARCHITECTURE DECISION LOG - record NEW decisions here. If you discover an OLD decision, record it as 'Reconstructed' and keep confidence honest: you are recording what you can prove, not guessing the reason.</t>
  </si>
  <si>
    <t xml:space="preserve">Decision ID</t>
  </si>
  <si>
    <t xml:space="preserve">Date</t>
  </si>
  <si>
    <t xml:space="preserve">Origin</t>
  </si>
  <si>
    <t xml:space="preserve">Problem</t>
  </si>
  <si>
    <t xml:space="preserve">Context</t>
  </si>
  <si>
    <t xml:space="preserve">Options Considered</t>
  </si>
  <si>
    <t xml:space="preserve">Decision</t>
  </si>
  <si>
    <t xml:space="preserve">Why</t>
  </si>
  <si>
    <t xml:space="preserve">Impact</t>
  </si>
  <si>
    <t xml:space="preserve">Objects Affected</t>
  </si>
  <si>
    <t xml:space="preserve">Risks</t>
  </si>
  <si>
    <t xml:space="preserve">Rollback</t>
  </si>
  <si>
    <t xml:space="preserve">Approver</t>
  </si>
  <si>
    <t xml:space="preserve">Review Date</t>
  </si>
  <si>
    <t xml:space="preserve">EX-D-001</t>
  </si>
  <si>
    <t xml:space="preserve">New decision</t>
  </si>
  <si>
    <t xml:space="preserve">Approvals duplicated across flows</t>
  </si>
  <si>
    <t xml:space="preserve">Three flows each built their own approval steps</t>
  </si>
  <si>
    <t xml:space="preserve">A) copy logic B) shared subflow C) leave as is</t>
  </si>
  <si>
    <t xml:space="preserve">Use shared subflow 'EX Get Manager Approval'</t>
  </si>
  <si>
    <t xml:space="preserve">One place to fix approver logic</t>
  </si>
  <si>
    <t xml:space="preserve">Fewer places to maintain</t>
  </si>
  <si>
    <t xml:space="preserve">EX Laptop Request Fulfillment; EX Get Manager Approval</t>
  </si>
  <si>
    <t xml:space="preserve">Subflow change affects all callers</t>
  </si>
  <si>
    <t xml:space="preserve">Restore previous flow versions</t>
  </si>
  <si>
    <t xml:space="preserve">(example) Platform Owner</t>
  </si>
  <si>
    <t xml:space="preserve">Proposed</t>
  </si>
  <si>
    <t xml:space="preserve">CHANGE HISTORY - changes YOU or your team make from now on. Do not backfill history you cannot prove; use Decisions (Reconstructed) or Unknowns for that.</t>
  </si>
  <si>
    <t xml:space="preserve">Change ID</t>
  </si>
  <si>
    <t xml:space="preserve">Change</t>
  </si>
  <si>
    <t xml:space="preserve">Reason</t>
  </si>
  <si>
    <t xml:space="preserve">Requestor</t>
  </si>
  <si>
    <t xml:space="preserve">Implementer</t>
  </si>
  <si>
    <t xml:space="preserve">Testing</t>
  </si>
  <si>
    <t xml:space="preserve">Approval</t>
  </si>
  <si>
    <t xml:space="preserve">Production Date</t>
  </si>
  <si>
    <t xml:space="preserve">Result</t>
  </si>
  <si>
    <t xml:space="preserve">Follow-up</t>
  </si>
  <si>
    <t xml:space="preserve">Ticket / Update Set</t>
  </si>
  <si>
    <t xml:space="preserve">EX-C-001</t>
  </si>
  <si>
    <t xml:space="preserve">Moved approver lookup into subflow</t>
  </si>
  <si>
    <t xml:space="preserve">See EX-D-001</t>
  </si>
  <si>
    <t xml:space="preserve">(example)</t>
  </si>
  <si>
    <t xml:space="preserve">Submitted 3 test requests in sub-prod</t>
  </si>
  <si>
    <t xml:space="preserve">Success</t>
  </si>
  <si>
    <t xml:space="preserve">Restore flow v3</t>
  </si>
  <si>
    <t xml:space="preserve">30-DAY DISCOVERY PLAN - phases not heroics. If a day slips, move on; the goal is a defensible picture, not completeness.</t>
  </si>
  <si>
    <t xml:space="preserve">Day</t>
  </si>
  <si>
    <t xml:space="preserve">Phase</t>
  </si>
  <si>
    <t xml:space="preserve">Focus</t>
  </si>
  <si>
    <t xml:space="preserve">What To Do</t>
  </si>
  <si>
    <t xml:space="preserve">Output</t>
  </si>
  <si>
    <t xml:space="preserve">Workbook Sheet</t>
  </si>
  <si>
    <t xml:space="preserve">Typical Access Needed</t>
  </si>
  <si>
    <t xml:space="preserve">Date Done</t>
  </si>
  <si>
    <t xml:space="preserve">Days done:</t>
  </si>
  <si>
    <t xml:space="preserve">1-3 Establish the perimeter</t>
  </si>
  <si>
    <t xml:space="preserve">Instances &amp; your access</t>
  </si>
  <si>
    <t xml:space="preserve">Record prod and sub-prod URLs. Log in to each. Write down what you CAN open (catalog, lists, reports, knowledge) and what is blocked. Capture your own roles if visible; otherwise ask.</t>
  </si>
  <si>
    <t xml:space="preserve">Architecture Overview rows (instance, URL, prod/sub-prod); Unknowns for blanks</t>
  </si>
  <si>
    <t xml:space="preserve">Not Started</t>
  </si>
  <si>
    <t xml:space="preserve">People &amp; documentation</t>
  </si>
  <si>
    <t xml:space="preserve">List: platform owner, admins (incl. vendors), backup, security contact, business owners. Hunt existing docs: shared drives, wiki, email, handoff notes, tickets. Start Transition Checklist conversation with your manager.</t>
  </si>
  <si>
    <t xml:space="preserve">Contact list in Architecture Overview; U-001, U-002, U-008 updated; Transition Checklist started</t>
  </si>
  <si>
    <t xml:space="preserve">Transition Checklist</t>
  </si>
  <si>
    <t xml:space="preserve">Processes, systems, upgrade &amp; dev/test process</t>
  </si>
  <si>
    <t xml:space="preserve">List 5-10 candidate business processes and their owners; list external systems you hear about; find out upgrade schedule and how changes reach production. Score candidates (volume, criticality, pain, SME availability). Do NOT try to understand everything.</t>
  </si>
  <si>
    <t xml:space="preserve">Business Processes rows (Priority to Trace set); Unknowns for dev/test, upgrades</t>
  </si>
  <si>
    <t xml:space="preserve">4-7 Platform inventory</t>
  </si>
  <si>
    <t xml:space="preserve">Applications &amp; modules</t>
  </si>
  <si>
    <t xml:space="preserve">Walk the application navigator. For each app/module: name, scope if visible, who uses it. Add to Applications and Object Inventory.</t>
  </si>
  <si>
    <t xml:space="preserve">Applications + Object Inventory rows</t>
  </si>
  <si>
    <t xml:space="preserve">Catalogs &amp; catalog items</t>
  </si>
  <si>
    <t xml:space="preserve">Browse the portal/catalog as a requester. Record catalogs, categories, items, visible variables, who owns each. Note items you cannot see (Access Needed).</t>
  </si>
  <si>
    <t xml:space="preserve">Catalog Items rows</t>
  </si>
  <si>
    <t xml:space="preserve">Tables, roles, groups, reports</t>
  </si>
  <si>
    <t xml:space="preserve">From forms/lists you can open, record table names and key fields. Record visible groups/roles, reports and dashboards, knowledge bases.</t>
  </si>
  <si>
    <t xml:space="preserve">Tables, Security, Object Inventory rows</t>
  </si>
  <si>
    <t xml:space="preserve">Flows, scripts, integrations, jobs - and what you could not see</t>
  </si>
  <si>
    <t xml:space="preserve">Record anything visible; for everything else create an inventory row with Access Needed set. Draft your first access request from those rows. Review: counts on Dashboard.</t>
  </si>
  <si>
    <t xml:space="preserve">Access Roadmap requests drafted; Dashboard snapshot</t>
  </si>
  <si>
    <t xml:space="preserve">8-14 Business process tracing</t>
  </si>
  <si>
    <t xml:space="preserve">Choose processes &amp; kickoff</t>
  </si>
  <si>
    <t xml:space="preserve">Pick 3-5 processes. Book 30-45 minutes with each process owner: 'Show me how it works. Who does what? What breaks? What workarounds exist?'</t>
  </si>
  <si>
    <t xml:space="preserve">Process owners confirmed; interview notes</t>
  </si>
  <si>
    <t xml:space="preserve">Process 1: user side</t>
  </si>
  <si>
    <t xml:space="preserve">Trace as the requester (use sub-prod and test records if allowed): catalog item, variables, visibility rules, what the user sees at each step.</t>
  </si>
  <si>
    <t xml:space="preserve">Variables rows; process steps draft</t>
  </si>
  <si>
    <t xml:space="preserve">Process 1: back end</t>
  </si>
  <si>
    <t xml:space="preserve">Follow the records: tables, tasks, approvals, notifications, fields changed. Fill Business Processes row, link every object. Record Dependencies as you go.</t>
  </si>
  <si>
    <t xml:space="preserve">Tables/Flows/Dependencies rows linked to process</t>
  </si>
  <si>
    <t xml:space="preserve">Process 2</t>
  </si>
  <si>
    <t xml:space="preserve">Same trace. Note shared components (same flow, subflow, script include, table) - shared pieces are the highest-impact objects.</t>
  </si>
  <si>
    <t xml:space="preserve">Process 2 documented; shared objects flagged</t>
  </si>
  <si>
    <t xml:space="preserve">Process 3</t>
  </si>
  <si>
    <t xml:space="preserve">Same trace.</t>
  </si>
  <si>
    <t xml:space="preserve">Process 3 documented</t>
  </si>
  <si>
    <t xml:space="preserve">Processes 4-5 or shared components</t>
  </si>
  <si>
    <t xml:space="preserve">Trace one more process OR deep-dive the shared objects found so far.</t>
  </si>
  <si>
    <t xml:space="preserve">More Dependencies; Unknowns logged</t>
  </si>
  <si>
    <t xml:space="preserve">Consolidate &amp; first SME validation</t>
  </si>
  <si>
    <t xml:space="preserve">Review all Dependencies; run Impact Check on your 5 most shared objects. Validate Process 1 with its owner. Log risks. Send manager a one-page status (Dashboard).</t>
  </si>
  <si>
    <t xml:space="preserve">SME validation recorded; first Risks scored</t>
  </si>
  <si>
    <t xml:space="preserve">15-21 Deep technical discovery</t>
  </si>
  <si>
    <t xml:space="preserve">For flows in your traced processes: trigger, conditions, tables, subflows, error handling, failure behavior, logging, retries. Answer 'If this stops, what breaks?'</t>
  </si>
  <si>
    <t xml:space="preserve">Flows rows</t>
  </si>
  <si>
    <t xml:space="preserve">Business rules &amp; script includes</t>
  </si>
  <si>
    <t xml:space="preserve">On traced tables: when they run, what they write, what they call, hard-coded values. Unclear purpose = Unknown, never a guess.</t>
  </si>
  <si>
    <t xml:space="preserve">Scripts &amp; Rules rows</t>
  </si>
  <si>
    <t xml:space="preserve">Client-side: client scripts, UI policies, UI actions</t>
  </si>
  <si>
    <t xml:space="preserve">Document what changes in the form/portal, and what each can hide, require or set.</t>
  </si>
  <si>
    <t xml:space="preserve">ACLs, roles, groups</t>
  </si>
  <si>
    <t xml:space="preserve">For traced tables: who can read/write/create/delete. Look for broad access, inactive owners, powerful roles.</t>
  </si>
  <si>
    <t xml:space="preserve">Security rows; security Risks</t>
  </si>
  <si>
    <t xml:space="preserve">Security Admin</t>
  </si>
  <si>
    <t xml:space="preserve">Integrations &amp; scheduled jobs</t>
  </si>
  <si>
    <t xml:space="preserve">Endpoints, auth, credential owner/expiry, schedules, failure logging, alerting, MID dependencies.</t>
  </si>
  <si>
    <t xml:space="preserve">Integrations rows; Risks</t>
  </si>
  <si>
    <t xml:space="preserve">Customizations &amp; upgrade risk</t>
  </si>
  <si>
    <t xml:space="preserve">Separate OOTB vs customized OOTB vs custom. Check version, last upgrade, skipped/pending upgrades if visible. Flag upgrade collisions.</t>
  </si>
  <si>
    <t xml:space="preserve">OOTB/Custom set; upgrade Risks</t>
  </si>
  <si>
    <t xml:space="preserve">Errors, logging, monitoring</t>
  </si>
  <si>
    <t xml:space="preserve">Where do failures show up (flow executions, system logs, email logs, import errors)? Who sees them? Note monitoring gaps. Review week.</t>
  </si>
  <si>
    <t xml:space="preserve">Monitoring risks; updated Dashboard</t>
  </si>
  <si>
    <t xml:space="preserve">22-30 Validate &amp; establish ownership</t>
  </si>
  <si>
    <t xml:space="preserve">Prioritize unknowns</t>
  </si>
  <si>
    <t xml:space="preserve">Sort Unknowns by priority. For each Critical/High: method, person to ask, access needed. Book SME time.</t>
  </si>
  <si>
    <t xml:space="preserve">Unknowns triaged</t>
  </si>
  <si>
    <t xml:space="preserve">Unknowns</t>
  </si>
  <si>
    <t xml:space="preserve">SME validation: business</t>
  </si>
  <si>
    <t xml:space="preserve">Review traced processes with process owners; record validated-by/date; correct the documentation.</t>
  </si>
  <si>
    <t xml:space="preserve">Business Processes validated</t>
  </si>
  <si>
    <t xml:space="preserve">SME validation: technical &amp; external</t>
  </si>
  <si>
    <t xml:space="preserve">Validate integrations with external owners; confirm customizations with former team/vendor if reachable.</t>
  </si>
  <si>
    <t xml:space="preserve">Integrations/Scripts confidence raised</t>
  </si>
  <si>
    <t xml:space="preserve">Assign ownership</t>
  </si>
  <si>
    <t xml:space="preserve">Propose a business and technical owner for each Critical/High object. Get agreement or log it as an open risk.</t>
  </si>
  <si>
    <t xml:space="preserve">Owners filled; 'without owners' count falls</t>
  </si>
  <si>
    <t xml:space="preserve">Documentation standards &amp; change expectations</t>
  </si>
  <si>
    <t xml:space="preserve">Draft naming, review cadence, 'definition of documented', and how changes are requested/tested/approved. Record as Decisions.</t>
  </si>
  <si>
    <t xml:space="preserve">Decisions rows</t>
  </si>
  <si>
    <t xml:space="preserve">Decisions</t>
  </si>
  <si>
    <t xml:space="preserve">Transition agreement &amp; access request</t>
  </si>
  <si>
    <t xml:space="preserve">Complete the Transition Checklist with your manager. Submit access request using the Access Roadmap, tied to responsibilities.</t>
  </si>
  <si>
    <t xml:space="preserve">Transition Checklist complete; access request submitted</t>
  </si>
  <si>
    <t xml:space="preserve">Risk review</t>
  </si>
  <si>
    <t xml:space="preserve">Walk the top 10 risks with your manager/owner; confirm owners and actions.</t>
  </si>
  <si>
    <t xml:space="preserve">Risks reviewed</t>
  </si>
  <si>
    <t xml:space="preserve">60-90 day improvement backlog</t>
  </si>
  <si>
    <t xml:space="preserve">Turn risks, unknowns and tech debt into a prioritized backlog with effort, owner, access required.</t>
  </si>
  <si>
    <t xml:space="preserve">Backlog (list on Decisions or your tracker)</t>
  </si>
  <si>
    <t xml:space="preserve">Present</t>
  </si>
  <si>
    <t xml:space="preserve">Share Dashboard, top risks, traced processes, access request status, proposed ownership model, backlog.</t>
  </si>
  <si>
    <t xml:space="preserve">Presentation; agreed next steps</t>
  </si>
  <si>
    <t xml:space="preserve">ACCESS MATRIX - what each discovery item usually needs. ASSUMPTION: roles and ACLs vary by instance; treat 'minimum access' as a starting hypothesis and record what ACTUALLY blocked you.</t>
  </si>
  <si>
    <t xml:space="preserve">What You Want To Discover</t>
  </si>
  <si>
    <t xml:space="preserve">Typical Minimum Access (assumption)</t>
  </si>
  <si>
    <t xml:space="preserve">What Limits You</t>
  </si>
  <si>
    <t xml:space="preserve">Workaround With Less Access</t>
  </si>
  <si>
    <t xml:space="preserve">Set 'Access Needed' To</t>
  </si>
  <si>
    <t xml:space="preserve">Verified In My Instance?</t>
  </si>
  <si>
    <t xml:space="preserve">Catalog items you can request (names, descriptions, visible variables)</t>
  </si>
  <si>
    <t xml:space="preserve">Only items available to you via user criteria. Hidden items and technical names are not visible.</t>
  </si>
  <si>
    <t xml:space="preserve">Ask owners for item lists; screenshot the form</t>
  </si>
  <si>
    <t xml:space="preserve">Form field labels, list columns, choice values on tables you can read</t>
  </si>
  <si>
    <t xml:space="preserve">Labels yes; dictionary details (type/length/reference qualifier) usually need more.</t>
  </si>
  <si>
    <t xml:space="preserve">List &gt; Export (if allowed) for visible data</t>
  </si>
  <si>
    <t xml:space="preserve">Reports, dashboards, knowledge bases shared with you</t>
  </si>
  <si>
    <t xml:space="preserve">Only shared ones; report definitions may be viewable only to some roles.</t>
  </si>
  <si>
    <t xml:space="preserve">Ask report owners for definitions</t>
  </si>
  <si>
    <t xml:space="preserve">Notifications you receive (sample emails)</t>
  </si>
  <si>
    <t xml:space="preserve">You see outputs, not conditions or recipients logic.</t>
  </si>
  <si>
    <t xml:space="preserve">Keep samples as evidence</t>
  </si>
  <si>
    <t xml:space="preserve">Approvals/tasks assigned to you; observed process behavior in test</t>
  </si>
  <si>
    <t xml:space="preserve">Test in sub-prod with permission only.</t>
  </si>
  <si>
    <t xml:space="preserve">Ask for test persona accounts</t>
  </si>
  <si>
    <t xml:space="preserve">Application navigator: apps and modules visible to you</t>
  </si>
  <si>
    <t xml:space="preserve">Shows only what your roles allow - absence is not proof of non-existence.</t>
  </si>
  <si>
    <t xml:space="preserve">Compare with a fulfiller's view</t>
  </si>
  <si>
    <t xml:space="preserve">Tables, columns, extends relationships (schema)</t>
  </si>
  <si>
    <t xml:space="preserve">Often restricted; some instances allow read of dictionary to analysts. Verify yours.</t>
  </si>
  <si>
    <t xml:space="preserve">Ask for dictionary export</t>
  </si>
  <si>
    <t xml:space="preserve">Roles/groups membership lists</t>
  </si>
  <si>
    <t xml:space="preserve">User/group admin visibility varies; may be read-only to some.</t>
  </si>
  <si>
    <t xml:space="preserve">Ask for export of role/group reports</t>
  </si>
  <si>
    <t xml:space="preserve">Flow Designer flows, subflows, actions, executions</t>
  </si>
  <si>
    <t xml:space="preserve">Flow Designer roles or admin typically needed to view; executions may be restricted.</t>
  </si>
  <si>
    <t xml:space="preserve">Ask flow owner for screenshots/export</t>
  </si>
  <si>
    <t xml:space="preserve">Business rules, client scripts, UI policies, UI actions</t>
  </si>
  <si>
    <t xml:space="preserve">Script records are typically admin-readable; scoped apps may differ.</t>
  </si>
  <si>
    <t xml:space="preserve">Request read-only config access</t>
  </si>
  <si>
    <t xml:space="preserve">Script includes and script content</t>
  </si>
  <si>
    <t xml:space="preserve">Same. You need to read code to find hard-coded values.</t>
  </si>
  <si>
    <t xml:space="preserve">Read-only developer access in sub-prod</t>
  </si>
  <si>
    <t xml:space="preserve">Scheduled jobs / scheduled flows</t>
  </si>
  <si>
    <t xml:space="preserve">Job list and run history are often admin-only.</t>
  </si>
  <si>
    <t xml:space="preserve">Ask for job report</t>
  </si>
  <si>
    <t xml:space="preserve">REST messages, data sources, import sets, transform maps, MID servers</t>
  </si>
  <si>
    <t xml:space="preserve">Integration tables often require integration/admin roles.</t>
  </si>
  <si>
    <t xml:space="preserve">Ask integration owner for diagrams</t>
  </si>
  <si>
    <t xml:space="preserve">Credentials/connection records (existence, owner, expiry)</t>
  </si>
  <si>
    <t xml:space="preserve">Secrets are not viewable; existence/metadata may be.</t>
  </si>
  <si>
    <t xml:space="preserve">Ask credential owner</t>
  </si>
  <si>
    <t xml:space="preserve">System logs, event log, email log, flow errors, import errors</t>
  </si>
  <si>
    <t xml:space="preserve">Needed for troubleshooting; may be role-limited.</t>
  </si>
  <si>
    <t xml:space="preserve">Request log-view access in sub-prod first</t>
  </si>
  <si>
    <t xml:space="preserve">Update sets, customization indicators, version history</t>
  </si>
  <si>
    <t xml:space="preserve">Shows what changed and when; may expose 'why' in descriptions.</t>
  </si>
  <si>
    <t xml:space="preserve">Ask for update set export</t>
  </si>
  <si>
    <t xml:space="preserve">Plugins, store apps, versions, upgrade history, instance info</t>
  </si>
  <si>
    <t xml:space="preserve">Some info on instance info page is broader.</t>
  </si>
  <si>
    <t xml:space="preserve">Check Now Support / platform owner</t>
  </si>
  <si>
    <t xml:space="preserve">ACL records (view) and ACL changes</t>
  </si>
  <si>
    <t xml:space="preserve">Viewing may be admin; editing normally requires an elevated security role.</t>
  </si>
  <si>
    <t xml:space="preserve">Request read-only; changes via security team</t>
  </si>
  <si>
    <t xml:space="preserve">Impersonation / test as another user</t>
  </si>
  <si>
    <t xml:space="preserve">Powerful; treat as audited. Prefer test accounts.</t>
  </si>
  <si>
    <t xml:space="preserve">Test accounts per persona</t>
  </si>
  <si>
    <t xml:space="preserve">Instance performance, node/DB-level logs, backend queries, clone/restore</t>
  </si>
  <si>
    <t xml:space="preserve">Database/Platform</t>
  </si>
  <si>
    <t xml:space="preserve">Typically ServiceNow Support/hosting or platform team; not customer-visible.</t>
  </si>
  <si>
    <t xml:space="preserve">Open a Now Support case via an authorized contact</t>
  </si>
  <si>
    <t xml:space="preserve">Raw data exports at scale, ETL, direct DB reporting</t>
  </si>
  <si>
    <t xml:space="preserve">Often via approved reporting/data-export mechanisms.</t>
  </si>
  <si>
    <t xml:space="preserve">Use approved reports/exports</t>
  </si>
  <si>
    <t xml:space="preserve">ACCESS ROADMAP - capability first, role second. 'Typical access' is an ASSUMPTION: role names differ by instance. Record the real role/ticket in Notes. Ask for access TIED TO A RESPONSIBILITY, not generically.</t>
  </si>
  <si>
    <t xml:space="preserve">Level</t>
  </si>
  <si>
    <t xml:space="preserve">Capability Needed</t>
  </si>
  <si>
    <t xml:space="preserve">Why It Is Needed</t>
  </si>
  <si>
    <t xml:space="preserve">Typical ServiceNow Access (verify in your instance)</t>
  </si>
  <si>
    <t xml:space="preserve">Risk If Missing</t>
  </si>
  <si>
    <t xml:space="preserve">Temporary or Permanent</t>
  </si>
  <si>
    <t xml:space="preserve">Request Status</t>
  </si>
  <si>
    <t xml:space="preserve">Date Requested</t>
  </si>
  <si>
    <t xml:space="preserve">Date Granted</t>
  </si>
  <si>
    <t xml:space="preserve">Notes / Actual Role or Ticket</t>
  </si>
  <si>
    <t xml:space="preserve">L1 Discovery</t>
  </si>
  <si>
    <t xml:space="preserve">Read/test the processes as a requester and fulfiller (sub-prod)</t>
  </si>
  <si>
    <t xml:space="preserve">See behavior without touching config</t>
  </si>
  <si>
    <t xml:space="preserve">Standard user + test persona accounts or a fulfiller role in sub-prod</t>
  </si>
  <si>
    <t xml:space="preserve">You trace only the happy path; cannot reproduce fulfiller issues</t>
  </si>
  <si>
    <t xml:space="preserve">Temporary then review</t>
  </si>
  <si>
    <t xml:space="preserve">Not Needed Yet</t>
  </si>
  <si>
    <t xml:space="preserve">Read-only access to the business tables for traced processes</t>
  </si>
  <si>
    <t xml:space="preserve">Know what data exists and who changes it</t>
  </si>
  <si>
    <t xml:space="preserve">Table-specific read via role/ACL; or approved exports</t>
  </si>
  <si>
    <t xml:space="preserve">Process traces are incomplete; Unknowns pile up</t>
  </si>
  <si>
    <t xml:space="preserve">Permanent</t>
  </si>
  <si>
    <t xml:space="preserve">Ability to export lists/reports you can read</t>
  </si>
  <si>
    <t xml:space="preserve">Capture inventory evidence</t>
  </si>
  <si>
    <t xml:space="preserve">Export-capable user role on reportable tables</t>
  </si>
  <si>
    <t xml:space="preserve">Manual copying; evidence quality drops</t>
  </si>
  <si>
    <t xml:space="preserve">L2 Application Analyst</t>
  </si>
  <si>
    <t xml:space="preserve">Read-only view of configuration (flows, rules, scripts, ACLs, jobs) in sub-prod</t>
  </si>
  <si>
    <t xml:space="preserve">Understand how it actually works; find hidden dependencies</t>
  </si>
  <si>
    <t xml:space="preserve">Often admin-level; ask for a custom read-only 'configuration viewer' role or sub-prod admin</t>
  </si>
  <si>
    <t xml:space="preserve">Cannot answer 'what breaks if I change this'</t>
  </si>
  <si>
    <t xml:space="preserve">Permanent (read-only)</t>
  </si>
  <si>
    <t xml:space="preserve">View system logs, email logs, flow executions, import errors</t>
  </si>
  <si>
    <t xml:space="preserve">Troubleshoot instead of guess</t>
  </si>
  <si>
    <t xml:space="preserve">Admin-level or log-reader roles (varies)</t>
  </si>
  <si>
    <t xml:space="preserve">Break-fix is blind; escalations pile up</t>
  </si>
  <si>
    <t xml:space="preserve">Impersonate/test as users in sub-prod</t>
  </si>
  <si>
    <t xml:space="preserve">Reproduce user issues and validate fixes</t>
  </si>
  <si>
    <t xml:space="preserve">Impersonation role (audit-sensitive); prefer test accounts</t>
  </si>
  <si>
    <t xml:space="preserve">Cannot validate fixes; defects missed</t>
  </si>
  <si>
    <t xml:space="preserve">Run/review automated tests (ATF) if used</t>
  </si>
  <si>
    <t xml:space="preserve">Regression safety</t>
  </si>
  <si>
    <t xml:space="preserve">ATF tester/admin roles (if ATF is in use)</t>
  </si>
  <si>
    <t xml:space="preserve">No safe way to verify changes</t>
  </si>
  <si>
    <t xml:space="preserve">Read update sets / change history</t>
  </si>
  <si>
    <t xml:space="preserve">Find the 'why' and timeline</t>
  </si>
  <si>
    <t xml:space="preserve">Admin-level; request read-only</t>
  </si>
  <si>
    <t xml:space="preserve">Unknown history; more Unknowns</t>
  </si>
  <si>
    <t xml:space="preserve">L3 Application Administrator</t>
  </si>
  <si>
    <t xml:space="preserve">Maintain catalog items, variables, UI policies for owned apps</t>
  </si>
  <si>
    <t xml:space="preserve">Make approved configuration changes</t>
  </si>
  <si>
    <t xml:space="preserve">Catalog admin/editor roles scoped to your catalogs</t>
  </si>
  <si>
    <t xml:space="preserve">Requests for simple changes stall</t>
  </si>
  <si>
    <t xml:space="preserve">Create/edit flows and application scripts in sub-prod (scope-limited)</t>
  </si>
  <si>
    <t xml:space="preserve">Implement approved changes</t>
  </si>
  <si>
    <t xml:space="preserve">Flow Designer + scoped developer roles in sub-prod</t>
  </si>
  <si>
    <t xml:space="preserve">You carry accountability without ability to deliver</t>
  </si>
  <si>
    <t xml:space="preserve">Permanent (sub-prod)</t>
  </si>
  <si>
    <t xml:space="preserve">Manage assignment groups and application role assignment</t>
  </si>
  <si>
    <t xml:space="preserve">Keep fulfillment working</t>
  </si>
  <si>
    <t xml:space="preserve">Group/user admin delegated to your app scope</t>
  </si>
  <si>
    <t xml:space="preserve">Fulfillment stalls waiting on others</t>
  </si>
  <si>
    <t xml:space="preserve">Prepare, test, and promote changes via agreed process</t>
  </si>
  <si>
    <t xml:space="preserve">Deliver changes safely</t>
  </si>
  <si>
    <t xml:space="preserve">Update-set/pipeline permissions; production deploy may stay with platform admin</t>
  </si>
  <si>
    <t xml:space="preserve">Unclear who deploys; changes bypass control</t>
  </si>
  <si>
    <t xml:space="preserve">Permanent for sub-prod; production per policy</t>
  </si>
  <si>
    <t xml:space="preserve">Manage notifications, reports, dashboards for owned apps</t>
  </si>
  <si>
    <t xml:space="preserve">Operational improvements</t>
  </si>
  <si>
    <t xml:space="preserve">Report/notification admin roles (scoped)</t>
  </si>
  <si>
    <t xml:space="preserve">Business asks go unfulfilled</t>
  </si>
  <si>
    <t xml:space="preserve">L4 Platform Administrator</t>
  </si>
  <si>
    <t xml:space="preserve">Full admin in sub-prod and agreed production admin</t>
  </si>
  <si>
    <t xml:space="preserve">Platform-wide troubleshooting and configuration</t>
  </si>
  <si>
    <t xml:space="preserve">Admin role (and elevated security role where applicable)</t>
  </si>
  <si>
    <t xml:space="preserve">You cannot fix platform-level issues</t>
  </si>
  <si>
    <t xml:space="preserve">Permanent only if formally assigned</t>
  </si>
  <si>
    <t xml:space="preserve">Integration, credentials, MID server management</t>
  </si>
  <si>
    <t xml:space="preserve">Own integrations</t>
  </si>
  <si>
    <t xml:space="preserve">Admin / integration roles</t>
  </si>
  <si>
    <t xml:space="preserve">Integration failures cannot be resolved</t>
  </si>
  <si>
    <t xml:space="preserve">Plugin/store app management, upgrades, instance clones</t>
  </si>
  <si>
    <t xml:space="preserve">Lifecycle management</t>
  </si>
  <si>
    <t xml:space="preserve">Admin + Now Support authorized contact</t>
  </si>
  <si>
    <t xml:space="preserve">Upgrades depend on others</t>
  </si>
  <si>
    <t xml:space="preserve">ACL/security configuration</t>
  </si>
  <si>
    <t xml:space="preserve">Security accountability</t>
  </si>
  <si>
    <t xml:space="preserve">Elevated security role</t>
  </si>
  <si>
    <t xml:space="preserve">You inherit risk you cannot control</t>
  </si>
  <si>
    <t xml:space="preserve">Raise/track Now Support cases</t>
  </si>
  <si>
    <t xml:space="preserve">Vendor escalation</t>
  </si>
  <si>
    <t xml:space="preserve">Named customer contact / support entitlement</t>
  </si>
  <si>
    <t xml:space="preserve">Escalations go nowhere</t>
  </si>
  <si>
    <t xml:space="preserve">RESPONSIBILITY MODES - name which mode you are in before you accept a request. 'I can do X in Discovery/Troubleshooting mode; Configuration/Ownership needs Y.'</t>
  </si>
  <si>
    <t xml:space="preserve">Mode</t>
  </si>
  <si>
    <t xml:space="preserve">What It Means</t>
  </si>
  <si>
    <t xml:space="preserve">Typical Activities</t>
  </si>
  <si>
    <t xml:space="preserve">Authority Needed</t>
  </si>
  <si>
    <t xml:space="preserve">What You Are NOT Agreeing To</t>
  </si>
  <si>
    <t xml:space="preserve">Red-flag Phrase</t>
  </si>
  <si>
    <t xml:space="preserve">Am I Operating In This Mode Today? (Y/N)</t>
  </si>
  <si>
    <t xml:space="preserve">Discovery</t>
  </si>
  <si>
    <t xml:space="preserve">Learning what exists and how it fits together; read-only.</t>
  </si>
  <si>
    <t xml:space="preserve">Inventory, tracing, interviews, documenting</t>
  </si>
  <si>
    <t xml:space="preserve">Access to observe; no authority to change</t>
  </si>
  <si>
    <t xml:space="preserve">Read-only/inspect (L1-L2)</t>
  </si>
  <si>
    <t xml:space="preserve">Fixes, outcomes, ownership</t>
  </si>
  <si>
    <t xml:space="preserve">'Just have a look at it'</t>
  </si>
  <si>
    <t xml:space="preserve">Troubleshooting</t>
  </si>
  <si>
    <t xml:space="preserve">Finding the cause of a specific issue; may recommend a fix.</t>
  </si>
  <si>
    <t xml:space="preserve">Reproduce, read logs, isolate, report findings</t>
  </si>
  <si>
    <t xml:space="preserve">Authority to investigate and escalate; not to change prod</t>
  </si>
  <si>
    <t xml:space="preserve">Log/config read, sub-prod test (L2)</t>
  </si>
  <si>
    <t xml:space="preserve">Making the fix; owning the outcome</t>
  </si>
  <si>
    <t xml:space="preserve">'Can you figure out why it's broken?'</t>
  </si>
  <si>
    <t xml:space="preserve">Configuration</t>
  </si>
  <si>
    <t xml:space="preserve">Making approved changes within defined scope.</t>
  </si>
  <si>
    <t xml:space="preserve">Catalog/flow/rule edits, per change process</t>
  </si>
  <si>
    <t xml:space="preserve">Authority within a defined scope and approved change</t>
  </si>
  <si>
    <t xml:space="preserve">L3 in sub-prod; deploy per process</t>
  </si>
  <si>
    <t xml:space="preserve">Platform-wide impact; production deployment unless stated</t>
  </si>
  <si>
    <t xml:space="preserve">'Can you just update that?'</t>
  </si>
  <si>
    <t xml:space="preserve">Administration</t>
  </si>
  <si>
    <t xml:space="preserve">Operating the application: users, groups, config, health.</t>
  </si>
  <si>
    <t xml:space="preserve">Role assignment, monitoring, housekeeping</t>
  </si>
  <si>
    <t xml:space="preserve">Authority over application operations</t>
  </si>
  <si>
    <t xml:space="preserve">L3 plus agreed admin duties</t>
  </si>
  <si>
    <t xml:space="preserve">Platform architecture, security policy</t>
  </si>
  <si>
    <t xml:space="preserve">'You're the admin now'</t>
  </si>
  <si>
    <t xml:space="preserve">Ownership</t>
  </si>
  <si>
    <t xml:space="preserve">Accountable for outcomes: availability, quality, risk acceptance.</t>
  </si>
  <si>
    <t xml:space="preserve">Owning roadmap, decisions, risk</t>
  </si>
  <si>
    <t xml:space="preserve">Decision rights and budget/priority influence</t>
  </si>
  <si>
    <t xml:space="preserve">Whatever delivery needs, plus backup</t>
  </si>
  <si>
    <t xml:space="preserve">Being blamed for pre-existing debt</t>
  </si>
  <si>
    <t xml:space="preserve">'It's yours now'</t>
  </si>
  <si>
    <t xml:space="preserve">Production Support</t>
  </si>
  <si>
    <t xml:space="preserve">Keeping live processes running; incident response.</t>
  </si>
  <si>
    <t xml:space="preserve">Triage, workaround, escalate, restore</t>
  </si>
  <si>
    <t xml:space="preserve">Defined response hours/SLAs; production authority or escalation</t>
  </si>
  <si>
    <t xml:space="preserve">Production log/config access; break-glass process</t>
  </si>
  <si>
    <t xml:space="preserve">24x7 coverage unless agreed</t>
  </si>
  <si>
    <t xml:space="preserve">'Fix it now, whatever it takes'</t>
  </si>
  <si>
    <t xml:space="preserve">Project Work</t>
  </si>
  <si>
    <t xml:space="preserve">Planned changes with scope, time, testing, approval.</t>
  </si>
  <si>
    <t xml:space="preserve">Requirements, build, test, release</t>
  </si>
  <si>
    <t xml:space="preserve">Scope/schedule authority; change approval</t>
  </si>
  <si>
    <t xml:space="preserve">Sub-prod build; release via process</t>
  </si>
  <si>
    <t xml:space="preserve">Unscoped 'while you're in there' work</t>
  </si>
  <si>
    <t xml:space="preserve">'Small tweak, shouldn't take long'</t>
  </si>
  <si>
    <t xml:space="preserve">Technical Leadership</t>
  </si>
  <si>
    <t xml:space="preserve">Setting standards, architecture direction, mentoring.</t>
  </si>
  <si>
    <t xml:space="preserve">Standards, reviews, decisions, onboarding</t>
  </si>
  <si>
    <t xml:space="preserve">Authority to set/enforce standards</t>
  </si>
  <si>
    <t xml:space="preserve">Broad read + review rights</t>
  </si>
  <si>
    <t xml:space="preserve">Unfunded platform strategy</t>
  </si>
  <si>
    <t xml:space="preserve">'You know the most about it'</t>
  </si>
  <si>
    <t xml:space="preserve">OWNERSHIP / TRANSITION CHECKLIST - get answers in writing (email is fine) BEFORE accepting ongoing ownership. 'Not Asked' items are your homework.</t>
  </si>
  <si>
    <t xml:space="preserve">Question To Ask</t>
  </si>
  <si>
    <t xml:space="preserve">Evidence To Get</t>
  </si>
  <si>
    <t xml:space="preserve">Agreed Answer</t>
  </si>
  <si>
    <t xml:space="preserve">Agreed With</t>
  </si>
  <si>
    <t xml:space="preserve">Responsibility</t>
  </si>
  <si>
    <t xml:space="preserve">What exactly am I being asked to do (discovery / troubleshooting / configuration / ownership)?</t>
  </si>
  <si>
    <t xml:space="preserve">Written scope in one or two sentences</t>
  </si>
  <si>
    <t xml:space="preserve">Not Asked</t>
  </si>
  <si>
    <t xml:space="preserve">Which applications/processes are in scope, and which are explicitly out of scope?</t>
  </si>
  <si>
    <t xml:space="preserve">List of apps/processes</t>
  </si>
  <si>
    <t xml:space="preserve">Am I responsible for outcomes, or for effort and reporting?</t>
  </si>
  <si>
    <t xml:space="preserve">Wording agreed with manager</t>
  </si>
  <si>
    <t xml:space="preserve">Is this in addition to my current job? What is deprioritized?</t>
  </si>
  <si>
    <t xml:space="preserve">Capacity statement / priorities</t>
  </si>
  <si>
    <t xml:space="preserve">Authority</t>
  </si>
  <si>
    <t xml:space="preserve">What can I decide alone? What needs approval?</t>
  </si>
  <si>
    <t xml:space="preserve">Decision rights list</t>
  </si>
  <si>
    <t xml:space="preserve">Who is accountable if a change causes an incident?</t>
  </si>
  <si>
    <t xml:space="preserve">Named person/role</t>
  </si>
  <si>
    <t xml:space="preserve">What access do I have today, and what is needed for the agreed scope?</t>
  </si>
  <si>
    <t xml:space="preserve">Access Roadmap rows filled</t>
  </si>
  <si>
    <t xml:space="preserve">Who grants access and how long does it take?</t>
  </si>
  <si>
    <t xml:space="preserve">Approver + SLA</t>
  </si>
  <si>
    <t xml:space="preserve">Is access permanent or temporary? Is it audited?</t>
  </si>
  <si>
    <t xml:space="preserve">Agreement noted</t>
  </si>
  <si>
    <t xml:space="preserve">Documentation</t>
  </si>
  <si>
    <t xml:space="preserve">Does handoff documentation from the former admin exist? Where?</t>
  </si>
  <si>
    <t xml:space="preserve">Location or 'none'</t>
  </si>
  <si>
    <t xml:space="preserve">Where will documentation live and who may edit it?</t>
  </si>
  <si>
    <t xml:space="preserve">Location + standard</t>
  </si>
  <si>
    <t xml:space="preserve">Are there known undocumented customizations?</t>
  </si>
  <si>
    <t xml:space="preserve">List or Unknown IDs</t>
  </si>
  <si>
    <t xml:space="preserve">Backup / Support</t>
  </si>
  <si>
    <t xml:space="preserve">Who is my backup administrator?</t>
  </si>
  <si>
    <t xml:space="preserve">Is there a vendor/partner/Now Support contract? Who may open cases?</t>
  </si>
  <si>
    <t xml:space="preserve">Contract + contacts</t>
  </si>
  <si>
    <t xml:space="preserve">Who can I ask technical questions during discovery?</t>
  </si>
  <si>
    <t xml:space="preserve">Named SMEs</t>
  </si>
  <si>
    <t xml:space="preserve">Escalation</t>
  </si>
  <si>
    <t xml:space="preserve">Who do I escalate to for platform issues? for business decisions?</t>
  </si>
  <si>
    <t xml:space="preserve">Escalation path</t>
  </si>
  <si>
    <t xml:space="preserve">What is the process when something breaks outside my scope?</t>
  </si>
  <si>
    <t xml:space="preserve">Written process</t>
  </si>
  <si>
    <t xml:space="preserve">Change Authority</t>
  </si>
  <si>
    <t xml:space="preserve">Who approves changes to configuration? to production?</t>
  </si>
  <si>
    <t xml:space="preserve">Approver per level</t>
  </si>
  <si>
    <t xml:space="preserve">Is there a change process (CAB, tickets, update sets, pipeline)?</t>
  </si>
  <si>
    <t xml:space="preserve">Process description</t>
  </si>
  <si>
    <t xml:space="preserve">Production Access</t>
  </si>
  <si>
    <t xml:space="preserve">Do I need production access? Read-only? Break-glass only?</t>
  </si>
  <si>
    <t xml:space="preserve">Agreed model</t>
  </si>
  <si>
    <t xml:space="preserve">Who deploys to production?</t>
  </si>
  <si>
    <t xml:space="preserve">Named role</t>
  </si>
  <si>
    <t xml:space="preserve">Where do I test (sub-prod instance)? How fresh is it vs. production?</t>
  </si>
  <si>
    <t xml:space="preserve">Instance + clone date</t>
  </si>
  <si>
    <t xml:space="preserve">Who is responsible for UAT? Do automated tests exist?</t>
  </si>
  <si>
    <t xml:space="preserve">Named responsibility</t>
  </si>
  <si>
    <t xml:space="preserve">Who signs off on changes for each process?</t>
  </si>
  <si>
    <t xml:space="preserve">Process owner list</t>
  </si>
  <si>
    <t xml:space="preserve">What evidence of testing is required?</t>
  </si>
  <si>
    <t xml:space="preserve">Checklist</t>
  </si>
  <si>
    <t xml:space="preserve">Expected Outcomes</t>
  </si>
  <si>
    <t xml:space="preserve">What does 'success' look like at 30, 60, 90 days?</t>
  </si>
  <si>
    <t xml:space="preserve">Written outcomes</t>
  </si>
  <si>
    <t xml:space="preserve">Will performance be judged on discovery results or on fixing issues?</t>
  </si>
  <si>
    <t xml:space="preserve">Written expectation</t>
  </si>
  <si>
    <t xml:space="preserve">Timeline</t>
  </si>
  <si>
    <t xml:space="preserve">What is the timeline for this transition?</t>
  </si>
  <si>
    <t xml:space="preserve">Dates</t>
  </si>
  <si>
    <t xml:space="preserve">When is the next upgrade and who owns it?</t>
  </si>
  <si>
    <t xml:space="preserve">Upgrade owner/date</t>
  </si>
  <si>
    <t xml:space="preserve">When will ownership/role be reviewed?</t>
  </si>
  <si>
    <t xml:space="preserve">Review date</t>
  </si>
  <si>
    <t xml:space="preserve">Something Is Broken</t>
  </si>
  <si>
    <t xml:space="preserve">What is the business impact right now and who is affected?</t>
  </si>
  <si>
    <t xml:space="preserve">Impact statement</t>
  </si>
  <si>
    <t xml:space="preserve">Is there a runbook or past incident record?</t>
  </si>
  <si>
    <t xml:space="preserve">Link or none</t>
  </si>
  <si>
    <t xml:space="preserve">What can I do with my current access in a timeboxed investigation?</t>
  </si>
  <si>
    <t xml:space="preserve">Investigation scope</t>
  </si>
  <si>
    <t xml:space="preserve">Who approves a production change/workaround?</t>
  </si>
  <si>
    <t xml:space="preserve">Who communicates status to the business?</t>
  </si>
  <si>
    <t xml:space="preserve">Named person</t>
  </si>
  <si>
    <t xml:space="preserve">What do I record afterward? (Unknown, Risk, Decision, Change)</t>
  </si>
  <si>
    <t xml:space="preserve">Entries created</t>
  </si>
  <si>
    <t xml:space="preserve">ObjectType</t>
  </si>
  <si>
    <t xml:space="preserve">ActiveInactive</t>
  </si>
  <si>
    <t xml:space="preserve">OOTB</t>
  </si>
  <si>
    <t xml:space="preserve">DocStatus</t>
  </si>
  <si>
    <t xml:space="preserve">RiskStatus</t>
  </si>
  <si>
    <t xml:space="preserve">UnknownStatus</t>
  </si>
  <si>
    <t xml:space="preserve">YesNoUnknown</t>
  </si>
  <si>
    <t xml:space="preserve">Auth</t>
  </si>
  <si>
    <t xml:space="preserve">DepType</t>
  </si>
  <si>
    <t xml:space="preserve">DecisionStatus</t>
  </si>
  <si>
    <t xml:space="preserve">DecisionOrigin</t>
  </si>
  <si>
    <t xml:space="preserve">ChangeResult</t>
  </si>
  <si>
    <t xml:space="preserve">PlanStatus</t>
  </si>
  <si>
    <t xml:space="preserve">ScriptType</t>
  </si>
  <si>
    <t xml:space="preserve">FlowType</t>
  </si>
  <si>
    <t xml:space="preserve">SecType</t>
  </si>
  <si>
    <t xml:space="preserve">ACLOp</t>
  </si>
  <si>
    <t xml:space="preserve">FieldType</t>
  </si>
  <si>
    <t xml:space="preserve">ReqStatus</t>
  </si>
  <si>
    <t xml:space="preserve">TempPerm</t>
  </si>
  <si>
    <t xml:space="preserve">ChecklistStatus</t>
  </si>
  <si>
    <t xml:space="preserve">Env</t>
  </si>
  <si>
    <t xml:space="preserve">Definitions</t>
  </si>
  <si>
    <t xml:space="preserve">Inbound</t>
  </si>
  <si>
    <t xml:space="preserve">Basic</t>
  </si>
  <si>
    <t xml:space="preserve">reads from</t>
  </si>
  <si>
    <t xml:space="preserve">Pending</t>
  </si>
  <si>
    <t xml:space="preserve">read</t>
  </si>
  <si>
    <t xml:space="preserve">String</t>
  </si>
  <si>
    <t xml:space="preserve">Temporary</t>
  </si>
  <si>
    <t xml:space="preserve">Production</t>
  </si>
  <si>
    <t xml:space="preserve">CONFIDENCE: High = verified directly in ServiceNow | Medium = strongly supported, not fully verified | Low = inferred, needs validation | Unknown = not checked</t>
  </si>
  <si>
    <t xml:space="preserve">Not In Use</t>
  </si>
  <si>
    <t xml:space="preserve">Inactive</t>
  </si>
  <si>
    <t xml:space="preserve">Customized OOTB</t>
  </si>
  <si>
    <t xml:space="preserve">Investigating</t>
  </si>
  <si>
    <t xml:space="preserve">No</t>
  </si>
  <si>
    <t xml:space="preserve">SOAP</t>
  </si>
  <si>
    <t xml:space="preserve">writes to</t>
  </si>
  <si>
    <t xml:space="preserve">Approved</t>
  </si>
  <si>
    <t xml:space="preserve">Reconstructed (inferred)</t>
  </si>
  <si>
    <t xml:space="preserve">In Progress</t>
  </si>
  <si>
    <t xml:space="preserve">Integer</t>
  </si>
  <si>
    <t xml:space="preserve">Planned</t>
  </si>
  <si>
    <t xml:space="preserve">Asked</t>
  </si>
  <si>
    <t xml:space="preserve">Sub-production</t>
  </si>
  <si>
    <t xml:space="preserve">CRITICALITY: Critical = process stops or compliance impact | High = major degradation | Medium = workaround exists | Low = minor</t>
  </si>
  <si>
    <t xml:space="preserve">Mitigating</t>
  </si>
  <si>
    <t xml:space="preserve">Blocked - Needs Access</t>
  </si>
  <si>
    <t xml:space="preserve">Bidirectional</t>
  </si>
  <si>
    <t xml:space="preserve">Import Set / Transform Map</t>
  </si>
  <si>
    <t xml:space="preserve">API Key</t>
  </si>
  <si>
    <t xml:space="preserve">Implemented</t>
  </si>
  <si>
    <t xml:space="preserve">Reconstructed (confirmed by SME)</t>
  </si>
  <si>
    <t xml:space="preserve">Partial</t>
  </si>
  <si>
    <t xml:space="preserve">Done</t>
  </si>
  <si>
    <t xml:space="preserve">create</t>
  </si>
  <si>
    <t xml:space="preserve">Boolean</t>
  </si>
  <si>
    <t xml:space="preserve">Requested</t>
  </si>
  <si>
    <t xml:space="preserve">Agreed</t>
  </si>
  <si>
    <t xml:space="preserve">Both</t>
  </si>
  <si>
    <t xml:space="preserve">RISK SCORE: Likelihood Low/Med/High = 1/2/3 times Severity Low/Med/High/Critical = 1/2/3/4. &gt;=9 Critical, 6-8 High, 3-5 Medium, 1-2 Low</t>
  </si>
  <si>
    <t xml:space="preserve">Deprecated</t>
  </si>
  <si>
    <t xml:space="preserve">Accepted</t>
  </si>
  <si>
    <t xml:space="preserve">Blocked - Needs SME</t>
  </si>
  <si>
    <t xml:space="preserve">Certificate / mTLS</t>
  </si>
  <si>
    <t xml:space="preserve">creates records in</t>
  </si>
  <si>
    <t xml:space="preserve">Superseded</t>
  </si>
  <si>
    <t xml:space="preserve">Failed</t>
  </si>
  <si>
    <t xml:space="preserve">Skipped</t>
  </si>
  <si>
    <t xml:space="preserve">Scheduled Flow</t>
  </si>
  <si>
    <t xml:space="preserve">delete</t>
  </si>
  <si>
    <t xml:space="preserve">Choice</t>
  </si>
  <si>
    <t xml:space="preserve">Granted</t>
  </si>
  <si>
    <t xml:space="preserve">Either</t>
  </si>
  <si>
    <t xml:space="preserve">Partially Agreed</t>
  </si>
  <si>
    <t xml:space="preserve">DOC STATUS: Documented = template complete. Validated = confirmed by direct check or SME. Dashboard counts both as documented.</t>
  </si>
  <si>
    <t xml:space="preserve">Validated</t>
  </si>
  <si>
    <t xml:space="preserve">Closed</t>
  </si>
  <si>
    <t xml:space="preserve">Resolved</t>
  </si>
  <si>
    <t xml:space="preserve">IntegrationHub / Spoke</t>
  </si>
  <si>
    <t xml:space="preserve">SSO / SAML</t>
  </si>
  <si>
    <t xml:space="preserve">deletes from</t>
  </si>
  <si>
    <t xml:space="preserve">UI</t>
  </si>
  <si>
    <t xml:space="preserve">Reversed</t>
  </si>
  <si>
    <t xml:space="preserve">Rolled Back</t>
  </si>
  <si>
    <t xml:space="preserve">Blocked</t>
  </si>
  <si>
    <t xml:space="preserve">UI Script</t>
  </si>
  <si>
    <t xml:space="preserve">Legacy Workflow</t>
  </si>
  <si>
    <t xml:space="preserve">execute</t>
  </si>
  <si>
    <t xml:space="preserve">Denied</t>
  </si>
  <si>
    <t xml:space="preserve">Declined</t>
  </si>
  <si>
    <t xml:space="preserve">ACCESS NEEDED: Basic User &lt; Elevated Application &lt; Admin &lt; Security Admin &lt; Database/Platform. Pick the LOWEST level that lets you verify the item.</t>
  </si>
  <si>
    <t xml:space="preserve">Needs Update</t>
  </si>
  <si>
    <t xml:space="preserve">Closed - Not Resolvable</t>
  </si>
  <si>
    <t xml:space="preserve">Email</t>
  </si>
  <si>
    <t xml:space="preserve">Scheduled Script</t>
  </si>
  <si>
    <t xml:space="preserve">report_view</t>
  </si>
  <si>
    <t xml:space="preserve">List</t>
  </si>
  <si>
    <t xml:space="preserve">Granted - Temporary</t>
  </si>
  <si>
    <t xml:space="preserve">Not Applicable</t>
  </si>
  <si>
    <t xml:space="preserve">EXAMPLES: Rows with IDs starting EX- are fictional and excluded from Dashboard counts. Delete them when you are comfortable.</t>
  </si>
  <si>
    <t xml:space="preserve">SFTP / Flat File</t>
  </si>
  <si>
    <t xml:space="preserve">Fix Script</t>
  </si>
  <si>
    <t xml:space="preserve">other</t>
  </si>
  <si>
    <t xml:space="preserve">Glide Date/Time</t>
  </si>
  <si>
    <t xml:space="preserve">TO ADD A DROPDOWN VALUE: type it at the bottom of the list column (the dropdown range is fixed to the current length; insert a row INSIDE the list to extend it).</t>
  </si>
  <si>
    <t xml:space="preserve">JDBC</t>
  </si>
  <si>
    <t xml:space="preserve">Script Action</t>
  </si>
  <si>
    <t xml:space="preserve">SSO / SAML / LDAP</t>
  </si>
  <si>
    <t xml:space="preserve">called by</t>
  </si>
  <si>
    <t xml:space="preserve">Scripted REST</t>
  </si>
  <si>
    <t xml:space="preserve">Journal</t>
  </si>
  <si>
    <t xml:space="preserve">triggers</t>
  </si>
  <si>
    <t xml:space="preserve">Transform Script</t>
  </si>
  <si>
    <t xml:space="preserve">Script</t>
  </si>
  <si>
    <t xml:space="preserve">Currency</t>
  </si>
  <si>
    <t xml:space="preserve">notifies</t>
  </si>
  <si>
    <t xml:space="preserve">requests approval from</t>
  </si>
  <si>
    <t xml:space="preserve">extends</t>
  </si>
  <si>
    <t xml:space="preserve">references</t>
  </si>
  <si>
    <t xml:space="preserve">imports into</t>
  </si>
  <si>
    <t xml:space="preserve">exports from</t>
  </si>
  <si>
    <t xml:space="preserve">displays</t>
  </si>
  <si>
    <t xml:space="preserve">member of</t>
  </si>
  <si>
    <t xml:space="preserve">depends 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</si>
</sst>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2"/>
    </font>
    <font>
      <sz val="10"/>
      <color rgb="FF80808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699"/>
      </patternFill>
    </fill>
    <fill>
      <patternFill patternType="solid">
        <fgColor rgb="FFFFFF99"/>
        <bgColor rgb="FFFFE699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  <dxf>
      <fill>
        <patternFill>
          <bgColor rgb="FFD9D9D9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>
          <bgColor rgb="FFF8696B"/>
        </patternFill>
      </fill>
    </dxf>
    <dxf>
      <fill>
        <patternFill>
          <bgColor rgb="FFA9D08E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9E2F3"/>
      <rgbColor rgb="FF660066"/>
      <rgbColor rgb="FFF8696B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A9D08E"/>
      <rgbColor rgb="FFF4B183"/>
      <rgbColor rgb="FFCC99FF"/>
      <rgbColor rgb="FFFFE6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erviceNow_Architecture_Discovery_Workbook.xlsx" TargetMode="External"/><Relationship Id="rId2" Type="http://schemas.openxmlformats.org/officeDocument/2006/relationships/hyperlink" Target="ServiceNow_Architecture_Discovery_Workbook.xlsx" TargetMode="External"/><Relationship Id="rId3" Type="http://schemas.openxmlformats.org/officeDocument/2006/relationships/hyperlink" Target="ServiceNow_Architecture_Discovery_Workbook.xlsx" TargetMode="External"/><Relationship Id="rId4" Type="http://schemas.openxmlformats.org/officeDocument/2006/relationships/hyperlink" Target="ServiceNow_Architecture_Discovery_Workbook.xlsx" TargetMode="External"/><Relationship Id="rId5" Type="http://schemas.openxmlformats.org/officeDocument/2006/relationships/hyperlink" Target="ServiceNow_Architecture_Discovery_Workbook.xlsx" TargetMode="External"/><Relationship Id="rId6" Type="http://schemas.openxmlformats.org/officeDocument/2006/relationships/hyperlink" Target="ServiceNow_Architecture_Discovery_Workbook.xlsx" TargetMode="External"/><Relationship Id="rId7" Type="http://schemas.openxmlformats.org/officeDocument/2006/relationships/hyperlink" Target="ServiceNow_Architecture_Discovery_Workbook.xlsx" TargetMode="External"/><Relationship Id="rId8" Type="http://schemas.openxmlformats.org/officeDocument/2006/relationships/hyperlink" Target="ServiceNow_Architecture_Discovery_Workbook.xlsx" TargetMode="External"/><Relationship Id="rId9" Type="http://schemas.openxmlformats.org/officeDocument/2006/relationships/hyperlink" Target="ServiceNow_Architecture_Discovery_Workbook.xlsx" TargetMode="External"/><Relationship Id="rId10" Type="http://schemas.openxmlformats.org/officeDocument/2006/relationships/hyperlink" Target="ServiceNow_Architecture_Discovery_Workbook.xlsx" TargetMode="External"/><Relationship Id="rId11" Type="http://schemas.openxmlformats.org/officeDocument/2006/relationships/hyperlink" Target="ServiceNow_Architecture_Discovery_Workbook.xlsx" TargetMode="External"/><Relationship Id="rId12" Type="http://schemas.openxmlformats.org/officeDocument/2006/relationships/hyperlink" Target="ServiceNow_Architecture_Discovery_Workbook.xlsx" TargetMode="External"/><Relationship Id="rId13" Type="http://schemas.openxmlformats.org/officeDocument/2006/relationships/hyperlink" Target="ServiceNow_Architecture_Discovery_Workbook.xlsx" TargetMode="External"/><Relationship Id="rId14" Type="http://schemas.openxmlformats.org/officeDocument/2006/relationships/hyperlink" Target="ServiceNow_Architecture_Discovery_Workbook.xlsx" TargetMode="External"/><Relationship Id="rId15" Type="http://schemas.openxmlformats.org/officeDocument/2006/relationships/hyperlink" Target="ServiceNow_Architecture_Discovery_Workbook.xlsx" TargetMode="External"/><Relationship Id="rId16" Type="http://schemas.openxmlformats.org/officeDocument/2006/relationships/hyperlink" Target="ServiceNow_Architecture_Discovery_Workbook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4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5.v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B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48.5" hidden="false" customHeight="false" outlineLevel="0" collapsed="false">
      <c r="A1" s="1" t="s">
        <v>0</v>
      </c>
      <c r="B1" s="2"/>
    </row>
    <row r="2" customFormat="false" ht="23.85" hidden="false" customHeight="false" outlineLevel="0" collapsed="false">
      <c r="A2" s="2" t="s">
        <v>1</v>
      </c>
      <c r="B2" s="2" t="s">
        <v>2</v>
      </c>
    </row>
    <row r="4" customFormat="false" ht="15" hidden="false" customHeight="false" outlineLevel="0" collapsed="false">
      <c r="A4" s="3" t="s">
        <v>3</v>
      </c>
      <c r="B4" s="3"/>
    </row>
    <row r="5" customFormat="false" ht="23.85" hidden="false" customHeight="false" outlineLevel="0" collapsed="false">
      <c r="A5" s="2" t="s">
        <v>4</v>
      </c>
      <c r="B5" s="2" t="s">
        <v>5</v>
      </c>
    </row>
    <row r="6" customFormat="false" ht="23.85" hidden="false" customHeight="false" outlineLevel="0" collapsed="false">
      <c r="A6" s="2" t="s">
        <v>6</v>
      </c>
      <c r="B6" s="2" t="s">
        <v>7</v>
      </c>
    </row>
    <row r="7" customFormat="false" ht="15" hidden="false" customHeight="false" outlineLevel="0" collapsed="false">
      <c r="A7" s="2" t="s">
        <v>8</v>
      </c>
      <c r="B7" s="2" t="s">
        <v>9</v>
      </c>
    </row>
    <row r="8" customFormat="false" ht="15" hidden="false" customHeight="false" outlineLevel="0" collapsed="false">
      <c r="A8" s="2" t="s">
        <v>10</v>
      </c>
      <c r="B8" s="2" t="s">
        <v>11</v>
      </c>
    </row>
    <row r="9" customFormat="false" ht="23.85" hidden="false" customHeight="false" outlineLevel="0" collapsed="false">
      <c r="A9" s="2" t="s">
        <v>12</v>
      </c>
      <c r="B9" s="2" t="s">
        <v>13</v>
      </c>
    </row>
    <row r="10" customFormat="false" ht="15" hidden="false" customHeight="false" outlineLevel="0" collapsed="false">
      <c r="A10" s="2" t="s">
        <v>14</v>
      </c>
      <c r="B10" s="2" t="s">
        <v>15</v>
      </c>
    </row>
    <row r="11" customFormat="false" ht="15" hidden="false" customHeight="false" outlineLevel="0" collapsed="false">
      <c r="A11" s="2" t="s">
        <v>16</v>
      </c>
      <c r="B11" s="2" t="s">
        <v>17</v>
      </c>
    </row>
    <row r="13" customFormat="false" ht="15" hidden="false" customHeight="false" outlineLevel="0" collapsed="false">
      <c r="A13" s="3" t="s">
        <v>18</v>
      </c>
      <c r="B13" s="3"/>
    </row>
    <row r="14" customFormat="false" ht="15" hidden="false" customHeight="false" outlineLevel="0" collapsed="false">
      <c r="A14" s="2" t="s">
        <v>19</v>
      </c>
      <c r="B14" s="2" t="s">
        <v>20</v>
      </c>
    </row>
    <row r="15" customFormat="false" ht="15" hidden="false" customHeight="false" outlineLevel="0" collapsed="false">
      <c r="A15" s="2" t="s">
        <v>21</v>
      </c>
      <c r="B15" s="2" t="s">
        <v>22</v>
      </c>
    </row>
    <row r="16" customFormat="false" ht="15" hidden="false" customHeight="false" outlineLevel="0" collapsed="false">
      <c r="A16" s="2" t="s">
        <v>23</v>
      </c>
      <c r="B16" s="2" t="s">
        <v>24</v>
      </c>
    </row>
    <row r="17" customFormat="false" ht="15" hidden="false" customHeight="false" outlineLevel="0" collapsed="false">
      <c r="A17" s="2" t="s">
        <v>25</v>
      </c>
      <c r="B17" s="2" t="s">
        <v>26</v>
      </c>
    </row>
    <row r="18" customFormat="false" ht="15" hidden="false" customHeight="false" outlineLevel="0" collapsed="false">
      <c r="A18" s="2" t="s">
        <v>27</v>
      </c>
      <c r="B18" s="2" t="s">
        <v>28</v>
      </c>
    </row>
    <row r="19" customFormat="false" ht="15" hidden="false" customHeight="false" outlineLevel="0" collapsed="false">
      <c r="A19" s="2" t="s">
        <v>29</v>
      </c>
      <c r="B19" s="2" t="s">
        <v>30</v>
      </c>
    </row>
    <row r="20" customFormat="false" ht="15" hidden="false" customHeight="false" outlineLevel="0" collapsed="false">
      <c r="A20" s="2" t="s">
        <v>31</v>
      </c>
      <c r="B20" s="2" t="s">
        <v>32</v>
      </c>
    </row>
    <row r="21" customFormat="false" ht="15" hidden="false" customHeight="false" outlineLevel="0" collapsed="false">
      <c r="A21" s="2" t="s">
        <v>33</v>
      </c>
      <c r="B21" s="2" t="s">
        <v>34</v>
      </c>
    </row>
    <row r="22" customFormat="false" ht="15" hidden="false" customHeight="false" outlineLevel="0" collapsed="false">
      <c r="A22" s="2" t="s">
        <v>35</v>
      </c>
      <c r="B22" s="2" t="s">
        <v>36</v>
      </c>
    </row>
    <row r="23" customFormat="false" ht="15" hidden="false" customHeight="false" outlineLevel="0" collapsed="false">
      <c r="A23" s="2" t="s">
        <v>37</v>
      </c>
      <c r="B23" s="2" t="s">
        <v>38</v>
      </c>
    </row>
    <row r="25" customFormat="false" ht="15" hidden="false" customHeight="false" outlineLevel="0" collapsed="false">
      <c r="A25" s="3" t="s">
        <v>39</v>
      </c>
      <c r="B25" s="3"/>
    </row>
    <row r="26" customFormat="false" ht="15" hidden="false" customHeight="false" outlineLevel="0" collapsed="false">
      <c r="A26" s="4" t="s">
        <v>40</v>
      </c>
      <c r="B26" s="5" t="s">
        <v>41</v>
      </c>
    </row>
    <row r="27" customFormat="false" ht="15" hidden="false" customHeight="false" outlineLevel="0" collapsed="false">
      <c r="A27" s="4" t="s">
        <v>42</v>
      </c>
      <c r="B27" s="5" t="s">
        <v>43</v>
      </c>
    </row>
    <row r="28" customFormat="false" ht="15" hidden="false" customHeight="false" outlineLevel="0" collapsed="false">
      <c r="A28" s="4" t="s">
        <v>44</v>
      </c>
      <c r="B28" s="5" t="s">
        <v>45</v>
      </c>
    </row>
    <row r="29" customFormat="false" ht="15" hidden="false" customHeight="false" outlineLevel="0" collapsed="false">
      <c r="A29" s="4" t="s">
        <v>46</v>
      </c>
      <c r="B29" s="5" t="s">
        <v>47</v>
      </c>
    </row>
    <row r="30" customFormat="false" ht="15" hidden="false" customHeight="false" outlineLevel="0" collapsed="false">
      <c r="A30" s="4" t="s">
        <v>48</v>
      </c>
      <c r="B30" s="5" t="s">
        <v>49</v>
      </c>
    </row>
    <row r="31" customFormat="false" ht="15" hidden="false" customHeight="false" outlineLevel="0" collapsed="false">
      <c r="A31" s="4" t="s">
        <v>50</v>
      </c>
      <c r="B31" s="5" t="s">
        <v>51</v>
      </c>
    </row>
    <row r="32" customFormat="false" ht="15" hidden="false" customHeight="false" outlineLevel="0" collapsed="false">
      <c r="A32" s="4" t="s">
        <v>52</v>
      </c>
      <c r="B32" s="5" t="s">
        <v>53</v>
      </c>
    </row>
    <row r="33" customFormat="false" ht="15" hidden="false" customHeight="false" outlineLevel="0" collapsed="false">
      <c r="A33" s="4" t="s">
        <v>54</v>
      </c>
      <c r="B33" s="5" t="s">
        <v>55</v>
      </c>
    </row>
    <row r="34" customFormat="false" ht="15" hidden="false" customHeight="false" outlineLevel="0" collapsed="false">
      <c r="A34" s="4" t="s">
        <v>56</v>
      </c>
      <c r="B34" s="5" t="s">
        <v>57</v>
      </c>
    </row>
    <row r="35" customFormat="false" ht="15" hidden="false" customHeight="false" outlineLevel="0" collapsed="false">
      <c r="A35" s="4" t="s">
        <v>58</v>
      </c>
      <c r="B35" s="5" t="s">
        <v>59</v>
      </c>
    </row>
    <row r="36" customFormat="false" ht="15" hidden="false" customHeight="false" outlineLevel="0" collapsed="false">
      <c r="A36" s="4" t="s">
        <v>60</v>
      </c>
      <c r="B36" s="5" t="s">
        <v>61</v>
      </c>
    </row>
    <row r="37" customFormat="false" ht="15" hidden="false" customHeight="false" outlineLevel="0" collapsed="false">
      <c r="A37" s="4" t="s">
        <v>62</v>
      </c>
      <c r="B37" s="5" t="s">
        <v>63</v>
      </c>
    </row>
    <row r="38" customFormat="false" ht="15" hidden="false" customHeight="false" outlineLevel="0" collapsed="false">
      <c r="A38" s="4" t="s">
        <v>64</v>
      </c>
      <c r="B38" s="5" t="s">
        <v>65</v>
      </c>
    </row>
    <row r="39" customFormat="false" ht="15" hidden="false" customHeight="false" outlineLevel="0" collapsed="false">
      <c r="A39" s="4" t="s">
        <v>66</v>
      </c>
      <c r="B39" s="5" t="s">
        <v>67</v>
      </c>
    </row>
    <row r="40" customFormat="false" ht="15" hidden="false" customHeight="false" outlineLevel="0" collapsed="false">
      <c r="A40" s="4" t="s">
        <v>68</v>
      </c>
      <c r="B40" s="5" t="s">
        <v>69</v>
      </c>
    </row>
    <row r="41" customFormat="false" ht="15" hidden="false" customHeight="false" outlineLevel="0" collapsed="false">
      <c r="A41" s="4" t="s">
        <v>70</v>
      </c>
      <c r="B41" s="5" t="s">
        <v>71</v>
      </c>
    </row>
    <row r="43" customFormat="false" ht="15" hidden="false" customHeight="false" outlineLevel="0" collapsed="false">
      <c r="A43" s="3" t="s">
        <v>72</v>
      </c>
      <c r="B43" s="3"/>
    </row>
    <row r="44" customFormat="false" ht="15" hidden="false" customHeight="false" outlineLevel="0" collapsed="false">
      <c r="A44" s="6" t="s">
        <v>73</v>
      </c>
      <c r="B44" s="2" t="s">
        <v>74</v>
      </c>
    </row>
    <row r="45" customFormat="false" ht="15" hidden="false" customHeight="false" outlineLevel="0" collapsed="false">
      <c r="A45" s="7" t="s">
        <v>75</v>
      </c>
      <c r="B45" s="2" t="s">
        <v>76</v>
      </c>
    </row>
    <row r="46" customFormat="false" ht="15" hidden="false" customHeight="false" outlineLevel="0" collapsed="false">
      <c r="A46" s="2" t="s">
        <v>77</v>
      </c>
      <c r="B46" s="2" t="s">
        <v>78</v>
      </c>
    </row>
    <row r="47" customFormat="false" ht="15" hidden="false" customHeight="false" outlineLevel="0" collapsed="false">
      <c r="A47" s="2" t="s">
        <v>79</v>
      </c>
      <c r="B47" s="2" t="s">
        <v>80</v>
      </c>
    </row>
    <row r="49" customFormat="false" ht="23.85" hidden="false" customHeight="false" outlineLevel="0" collapsed="false">
      <c r="A49" s="3" t="s">
        <v>81</v>
      </c>
      <c r="B49" s="3"/>
    </row>
    <row r="50" customFormat="false" ht="23.85" hidden="false" customHeight="false" outlineLevel="0" collapsed="false">
      <c r="A50" s="2" t="s">
        <v>82</v>
      </c>
      <c r="B50" s="2" t="s">
        <v>83</v>
      </c>
    </row>
    <row r="51" customFormat="false" ht="15" hidden="false" customHeight="false" outlineLevel="0" collapsed="false">
      <c r="A51" s="2" t="s">
        <v>82</v>
      </c>
      <c r="B51" s="2" t="s">
        <v>84</v>
      </c>
    </row>
    <row r="52" customFormat="false" ht="15" hidden="false" customHeight="false" outlineLevel="0" collapsed="false">
      <c r="A52" s="2" t="s">
        <v>82</v>
      </c>
      <c r="B52" s="2" t="s">
        <v>85</v>
      </c>
    </row>
    <row r="53" customFormat="false" ht="15" hidden="false" customHeight="false" outlineLevel="0" collapsed="false">
      <c r="A53" s="2" t="s">
        <v>82</v>
      </c>
      <c r="B53" s="2" t="s">
        <v>86</v>
      </c>
    </row>
    <row r="54" customFormat="false" ht="23.85" hidden="false" customHeight="false" outlineLevel="0" collapsed="false">
      <c r="A54" s="2" t="s">
        <v>82</v>
      </c>
      <c r="B54" s="2" t="s">
        <v>87</v>
      </c>
    </row>
  </sheetData>
  <hyperlinks>
    <hyperlink ref="A26" r:id="rId1" location="'Dashboard'!A1" display="Dashboard"/>
    <hyperlink ref="A27" r:id="rId2" location="'Architecture%20Overview'!A1" display="Architecture Overview"/>
    <hyperlink ref="A28" r:id="rId3" location="'Object%20Inventory'!A1" display="Object Inventory"/>
    <hyperlink ref="A29" r:id="rId4" location="'Applications'!A1" display="Applications / Tables / Fields"/>
    <hyperlink ref="A30" r:id="rId5" location="'Catalog%20Items'!A1" display="Catalog Items / Variables"/>
    <hyperlink ref="A31" r:id="rId6" location="'Flows'!A1" display="Flows / Scripts &amp; Rules"/>
    <hyperlink ref="A32" r:id="rId7" location="'Integrations'!A1" display="Integrations"/>
    <hyperlink ref="A33" r:id="rId8" location="'Security'!A1" display="Security"/>
    <hyperlink ref="A34" r:id="rId9" location="'Business%20Processes'!A1" display="Business Processes"/>
    <hyperlink ref="A35" r:id="rId10" location="'Dependencies'!A1" display="Dependencies / Impact Check"/>
    <hyperlink ref="A36" r:id="rId11" location="'Risks'!A1" display="Risks / Unknowns"/>
    <hyperlink ref="A37" r:id="rId12" location="'Decisions'!A1" display="Decisions / Change History"/>
    <hyperlink ref="A38" r:id="rId13" location="'30-Day%20Plan'!A1" display="30-Day Plan"/>
    <hyperlink ref="A39" r:id="rId14" location="'Access%20Matrix'!A1" display="Access Matrix / Access Roadmap"/>
    <hyperlink ref="A40" r:id="rId15" location="'Responsibility%20Modes'!A1" display="Responsibility Modes / Transition Checklist"/>
    <hyperlink ref="A41" r:id="rId16" location="'Reference%20Lists'!A1" display="Reference Lis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8" t="s">
        <v>88</v>
      </c>
    </row>
    <row r="3" customFormat="false" ht="15" hidden="false" customHeight="false" outlineLevel="0" collapsed="false">
      <c r="A3" s="9" t="s">
        <v>89</v>
      </c>
      <c r="B3" s="10"/>
      <c r="C3" s="10"/>
      <c r="D3" s="10"/>
      <c r="E3" s="10"/>
      <c r="F3" s="10"/>
    </row>
    <row r="4" customFormat="false" ht="15" hidden="false" customHeight="false" outlineLevel="0" collapsed="false">
      <c r="A4" s="11" t="s">
        <v>90</v>
      </c>
      <c r="B4" s="12" t="s">
        <v>91</v>
      </c>
    </row>
    <row r="5" customFormat="false" ht="15" hidden="false" customHeight="false" outlineLevel="0" collapsed="false">
      <c r="A5" s="11" t="s">
        <v>92</v>
      </c>
      <c r="B5" s="12" t="s">
        <v>93</v>
      </c>
    </row>
    <row r="6" customFormat="false" ht="15" hidden="false" customHeight="false" outlineLevel="0" collapsed="false">
      <c r="A6" s="11" t="s">
        <v>94</v>
      </c>
      <c r="B6" s="5" t="str">
        <f aca="false">'30-Day Plan'!M2</f>
        <v>0 / 30</v>
      </c>
    </row>
    <row r="8" customFormat="false" ht="15" hidden="false" customHeight="false" outlineLevel="0" collapsed="false">
      <c r="A8" s="9" t="s">
        <v>95</v>
      </c>
      <c r="B8" s="10"/>
      <c r="C8" s="10"/>
      <c r="D8" s="10"/>
      <c r="E8" s="10"/>
      <c r="F8" s="10"/>
    </row>
    <row r="9" customFormat="false" ht="15" hidden="false" customHeight="false" outlineLevel="0" collapsed="false">
      <c r="A9" s="13" t="s">
        <v>96</v>
      </c>
      <c r="B9" s="13" t="s">
        <v>97</v>
      </c>
      <c r="C9" s="13" t="s">
        <v>98</v>
      </c>
      <c r="D9" s="13" t="s">
        <v>99</v>
      </c>
    </row>
    <row r="10" customFormat="false" ht="15" hidden="false" customHeight="false" outlineLevel="0" collapsed="false">
      <c r="A10" s="5" t="s">
        <v>100</v>
      </c>
      <c r="B10" s="5" t="n">
        <f aca="false">SUMPRODUCT(('Object Inventory'!$A$3:$A$502&lt;&gt;"")*(LEFT('Object Inventory'!$A$3:$A$502,3)&lt;&gt;"EX-"))</f>
        <v>0</v>
      </c>
      <c r="C10" s="5" t="n">
        <f aca="false">SUMPRODUCT(('Object Inventory'!$A$3:$A$502&lt;&gt;"")*(LEFT('Object Inventory'!$A$3:$A$502,3)&lt;&gt;"EX-")*(('Object Inventory'!$O$3:$O$502="Documented")+('Object Inventory'!$O$3:$O$502="Validated")))</f>
        <v>0</v>
      </c>
      <c r="D10" s="14" t="n">
        <f aca="false">IF(B10=0,0,C10/B10)</f>
        <v>0</v>
      </c>
    </row>
    <row r="11" customFormat="false" ht="15" hidden="false" customHeight="false" outlineLevel="0" collapsed="false">
      <c r="A11" s="5" t="s">
        <v>101</v>
      </c>
      <c r="B11" s="5" t="n">
        <f aca="false">SUMPRODUCT((Tables!$A$3:$A$502&lt;&gt;"")*(LEFT(Tables!$A$3:$A$502,3)&lt;&gt;"EX-"))</f>
        <v>0</v>
      </c>
      <c r="C11" s="5" t="n">
        <f aca="false">SUMPRODUCT((Tables!$A$3:$A$502&lt;&gt;"")*(LEFT(Tables!$A$3:$A$502,3)&lt;&gt;"EX-")*((Tables!$AY$3:$AY$502="Documented")+(Tables!$AY$3:$AY$502="Validated")))</f>
        <v>0</v>
      </c>
      <c r="D11" s="14" t="n">
        <f aca="false">IF(B11=0,0,C11/B11)</f>
        <v>0</v>
      </c>
    </row>
    <row r="12" customFormat="false" ht="15" hidden="false" customHeight="false" outlineLevel="0" collapsed="false">
      <c r="A12" s="5" t="s">
        <v>102</v>
      </c>
      <c r="B12" s="5" t="n">
        <f aca="false">SUMPRODUCT((Flows!$A$3:$A$502&lt;&gt;"")*(LEFT(Flows!$A$3:$A$502,3)&lt;&gt;"EX-"))</f>
        <v>0</v>
      </c>
      <c r="C12" s="5" t="n">
        <f aca="false">SUMPRODUCT((Flows!$A$3:$A$502&lt;&gt;"")*(LEFT(Flows!$A$3:$A$502,3)&lt;&gt;"EX-")*((Flows!$AI$3:$AI$502="Documented")+(Flows!$AI$3:$AI$502="Validated")))</f>
        <v>0</v>
      </c>
      <c r="D12" s="14" t="n">
        <f aca="false">IF(B12=0,0,C12/B12)</f>
        <v>0</v>
      </c>
    </row>
    <row r="13" customFormat="false" ht="15" hidden="false" customHeight="false" outlineLevel="0" collapsed="false">
      <c r="A13" s="5" t="s">
        <v>103</v>
      </c>
      <c r="B13" s="5" t="n">
        <f aca="false">SUMPRODUCT(('Catalog Items'!$A$3:$A$502&lt;&gt;"")*(LEFT('Catalog Items'!$A$3:$A$502,3)&lt;&gt;"EX-"))</f>
        <v>0</v>
      </c>
      <c r="C13" s="5" t="n">
        <f aca="false">SUMPRODUCT(('Catalog Items'!$A$3:$A$502&lt;&gt;"")*(LEFT('Catalog Items'!$A$3:$A$502,3)&lt;&gt;"EX-")*(('Catalog Items'!$AB$3:$AB$502="Documented")+('Catalog Items'!$AB$3:$AB$502="Validated")))</f>
        <v>0</v>
      </c>
      <c r="D13" s="14" t="n">
        <f aca="false">IF(B13=0,0,C13/B13)</f>
        <v>0</v>
      </c>
    </row>
    <row r="14" customFormat="false" ht="15" hidden="false" customHeight="false" outlineLevel="0" collapsed="false">
      <c r="A14" s="5" t="s">
        <v>52</v>
      </c>
      <c r="B14" s="5" t="n">
        <f aca="false">SUMPRODUCT((Integrations!$A$3:$A$502&lt;&gt;"")*(LEFT(Integrations!$A$3:$A$502,3)&lt;&gt;"EX-"))</f>
        <v>0</v>
      </c>
      <c r="C14" s="5" t="n">
        <f aca="false">SUMPRODUCT((Integrations!$A$3:$A$502&lt;&gt;"")*(LEFT(Integrations!$A$3:$A$502,3)&lt;&gt;"EX-")*((Integrations!$AD$3:$AD$502="Documented")+(Integrations!$AD$3:$AD$502="Validated")))</f>
        <v>0</v>
      </c>
      <c r="D14" s="14" t="n">
        <f aca="false">IF(B14=0,0,C14/B14)</f>
        <v>0</v>
      </c>
    </row>
    <row r="15" customFormat="false" ht="15" hidden="false" customHeight="false" outlineLevel="0" collapsed="false">
      <c r="A15" s="5" t="s">
        <v>104</v>
      </c>
      <c r="B15" s="5" t="n">
        <f aca="false">SUMPRODUCT(('Business Processes'!$A$3:$A$502&lt;&gt;"")*(LEFT('Business Processes'!$A$3:$A$502,3)&lt;&gt;"EX-"))</f>
        <v>0</v>
      </c>
      <c r="C15" s="5" t="n">
        <f aca="false">SUMPRODUCT(('Business Processes'!$A$3:$A$502&lt;&gt;"")*(LEFT('Business Processes'!$A$3:$A$502,3)&lt;&gt;"EX-")*(('Business Processes'!$AC$3:$AC$502="Documented")+('Business Processes'!$AC$3:$AC$502="Validated")))</f>
        <v>0</v>
      </c>
      <c r="D15" s="14" t="n">
        <f aca="false">IF(B15=0,0,C15/B15)</f>
        <v>0</v>
      </c>
    </row>
    <row r="16" customFormat="false" ht="15" hidden="false" customHeight="false" outlineLevel="0" collapsed="false">
      <c r="A16" s="5" t="s">
        <v>105</v>
      </c>
      <c r="B16" s="5" t="n">
        <f aca="false">SUMPRODUCT(('Scripts &amp; Rules'!$A$3:$A$502&lt;&gt;"")*(LEFT('Scripts &amp; Rules'!$A$3:$A$502,3)&lt;&gt;"EX-"))</f>
        <v>0</v>
      </c>
      <c r="C16" s="5" t="n">
        <f aca="false">SUMPRODUCT(('Scripts &amp; Rules'!$A$3:$A$502&lt;&gt;"")*(LEFT('Scripts &amp; Rules'!$A$3:$A$502,3)&lt;&gt;"EX-")*(('Scripts &amp; Rules'!$AA$3:$AA$502="Documented")+('Scripts &amp; Rules'!$AA$3:$AA$502="Validated")))</f>
        <v>0</v>
      </c>
      <c r="D16" s="14" t="n">
        <f aca="false">IF(B16=0,0,C16/B16)</f>
        <v>0</v>
      </c>
    </row>
    <row r="17" customFormat="false" ht="15" hidden="false" customHeight="false" outlineLevel="0" collapsed="false">
      <c r="A17" s="5" t="s">
        <v>106</v>
      </c>
      <c r="B17" s="5" t="n">
        <f aca="false">SUMPRODUCT((Security!$A$3:$A$502&lt;&gt;"")*(LEFT(Security!$A$3:$A$502,3)&lt;&gt;"EX-"))</f>
        <v>0</v>
      </c>
      <c r="C17" s="5" t="n">
        <f aca="false">SUMPRODUCT((Security!$A$3:$A$502&lt;&gt;"")*(LEFT(Security!$A$3:$A$502,3)&lt;&gt;"EX-")*((Security!$W$3:$W$502="Documented")+(Security!$W$3:$W$502="Validated")))</f>
        <v>0</v>
      </c>
      <c r="D17" s="14" t="n">
        <f aca="false">IF(B17=0,0,C17/B17)</f>
        <v>0</v>
      </c>
    </row>
    <row r="18" customFormat="false" ht="15" hidden="false" customHeight="false" outlineLevel="0" collapsed="false">
      <c r="A18" s="5" t="s">
        <v>107</v>
      </c>
      <c r="B18" s="5" t="n">
        <f aca="false">SUMPRODUCT((Applications!$A$3:$A$502&lt;&gt;"")*(LEFT(Applications!$A$3:$A$502,3)&lt;&gt;"EX-"))</f>
        <v>0</v>
      </c>
      <c r="C18" s="5" t="n">
        <f aca="false">SUMPRODUCT((Applications!$A$3:$A$502&lt;&gt;"")*(LEFT(Applications!$A$3:$A$502,3)&lt;&gt;"EX-")*((Applications!$O$3:$O$502="Documented")+(Applications!$O$3:$O$502="Validated")))</f>
        <v>0</v>
      </c>
      <c r="D18" s="14" t="n">
        <f aca="false">IF(B18=0,0,C18/B18)</f>
        <v>0</v>
      </c>
    </row>
    <row r="19" customFormat="false" ht="15" hidden="false" customHeight="false" outlineLevel="0" collapsed="false">
      <c r="A19" s="5" t="s">
        <v>108</v>
      </c>
      <c r="B19" s="5" t="n">
        <f aca="false">SUMPRODUCT((Fields!$A$3:$A$502&lt;&gt;"")*(LEFT(Fields!$A$3:$A$502,3)&lt;&gt;"EX-"))</f>
        <v>0</v>
      </c>
      <c r="C19" s="5" t="n">
        <f aca="false">SUMPRODUCT((Fields!$A$3:$A$502&lt;&gt;"")*(LEFT(Fields!$A$3:$A$502,3)&lt;&gt;"EX-")*((Fields!$W$3:$W$502="Documented")+(Fields!$W$3:$W$502="Validated")))</f>
        <v>0</v>
      </c>
      <c r="D19" s="14" t="n">
        <f aca="false">IF(B19=0,0,C19/B19)</f>
        <v>0</v>
      </c>
    </row>
    <row r="20" customFormat="false" ht="15" hidden="false" customHeight="false" outlineLevel="0" collapsed="false">
      <c r="A20" s="5" t="s">
        <v>109</v>
      </c>
      <c r="B20" s="5" t="n">
        <f aca="false">SUMPRODUCT((Variables!$A$3:$A$502&lt;&gt;"")*(LEFT(Variables!$A$3:$A$502,3)&lt;&gt;"EX-"))</f>
        <v>0</v>
      </c>
      <c r="C20" s="5" t="n">
        <f aca="false">SUMPRODUCT((Variables!$A$3:$A$502&lt;&gt;"")*(LEFT(Variables!$A$3:$A$502,3)&lt;&gt;"EX-")*((Variables!$R$3:$R$502="Documented")+(Variables!$R$3:$R$502="Validated")))</f>
        <v>0</v>
      </c>
      <c r="D20" s="14" t="n">
        <f aca="false">IF(B20=0,0,C20/B20)</f>
        <v>0</v>
      </c>
    </row>
    <row r="21" customFormat="false" ht="15" hidden="false" customHeight="false" outlineLevel="0" collapsed="false">
      <c r="A21" s="11" t="s">
        <v>110</v>
      </c>
      <c r="D21" s="15" t="n">
        <f aca="false">D10</f>
        <v>0</v>
      </c>
    </row>
    <row r="23" customFormat="false" ht="15" hidden="false" customHeight="false" outlineLevel="0" collapsed="false">
      <c r="A23" s="9" t="s">
        <v>111</v>
      </c>
      <c r="B23" s="10"/>
      <c r="C23" s="10"/>
      <c r="D23" s="10"/>
      <c r="E23" s="10"/>
      <c r="F23" s="10"/>
    </row>
    <row r="24" customFormat="false" ht="15" hidden="false" customHeight="false" outlineLevel="0" collapsed="false">
      <c r="A24" s="5" t="s">
        <v>112</v>
      </c>
      <c r="B24" s="5" t="n">
        <f aca="false">SUMPRODUCT((Risks!$A$3:$A$502&lt;&gt;"")*(LEFT(Risks!$A$3:$A$502,3)&lt;&gt;"EX-")*(Risks!$I$3:$I$502="Critical")*(Risks!$L$3:$L$502&lt;&gt;"Closed")*(Risks!$L$3:$L$502&lt;&gt;"Accepted"))</f>
        <v>1</v>
      </c>
    </row>
    <row r="25" customFormat="false" ht="15" hidden="false" customHeight="false" outlineLevel="0" collapsed="false">
      <c r="A25" s="5" t="s">
        <v>113</v>
      </c>
      <c r="B25" s="5" t="n">
        <f aca="false">SUMPRODUCT((Risks!$A$3:$A$502&lt;&gt;"")*(LEFT(Risks!$A$3:$A$502,3)&lt;&gt;"EX-")*(Risks!$I$3:$I$502="High")*(Risks!$L$3:$L$502&lt;&gt;"Closed")*(Risks!$L$3:$L$502&lt;&gt;"Accepted"))</f>
        <v>1</v>
      </c>
    </row>
    <row r="26" customFormat="false" ht="15" hidden="false" customHeight="false" outlineLevel="0" collapsed="false">
      <c r="A26" s="5" t="s">
        <v>114</v>
      </c>
      <c r="B26" s="5" t="n">
        <f aca="false">SUMPRODUCT((Risks!$A$3:$A$502&lt;&gt;"")*(LEFT(Risks!$A$3:$A$502,3)&lt;&gt;"EX-")*(Risks!$L$3:$L$502="Suspected"))</f>
        <v>16</v>
      </c>
    </row>
    <row r="27" customFormat="false" ht="15" hidden="false" customHeight="false" outlineLevel="0" collapsed="false">
      <c r="A27" s="5" t="s">
        <v>115</v>
      </c>
      <c r="B27" s="5" t="n">
        <f aca="false">SUMPRODUCT((Unknowns!$A$3:$A$502&lt;&gt;"")*(LEFT(Unknowns!$A$3:$A$502,3)&lt;&gt;"EX-")*(Unknowns!$I$3:$I$502="Critical")*(Unknowns!$J$3:$J$502&lt;&gt;"Resolved")*(Unknowns!$J$3:$J$502&lt;&gt;"Closed - Not Resolvable"))</f>
        <v>6</v>
      </c>
    </row>
    <row r="28" customFormat="false" ht="15" hidden="false" customHeight="false" outlineLevel="0" collapsed="false">
      <c r="A28" s="5" t="s">
        <v>116</v>
      </c>
      <c r="B28" s="5" t="n">
        <f aca="false">SUMPRODUCT((Unknowns!$A$3:$A$502&lt;&gt;"")*(LEFT(Unknowns!$A$3:$A$502,3)&lt;&gt;"EX-")*(Unknowns!$I$3:$I$502="High")*(Unknowns!$J$3:$J$502&lt;&gt;"Resolved")*(Unknowns!$J$3:$J$502&lt;&gt;"Closed - Not Resolvable"))</f>
        <v>5</v>
      </c>
    </row>
    <row r="29" customFormat="false" ht="15" hidden="false" customHeight="false" outlineLevel="0" collapsed="false">
      <c r="A29" s="5" t="s">
        <v>117</v>
      </c>
      <c r="B29" s="5" t="n">
        <f aca="false">SUMPRODUCT((Unknowns!$A$3:$A$502&lt;&gt;"")*(LEFT(Unknowns!$A$3:$A$502,3)&lt;&gt;"EX-")*(Unknowns!$J$3:$J$502&lt;&gt;"Resolved")*(Unknowns!$J$3:$J$502&lt;&gt;"Closed - Not Resolvable"))</f>
        <v>12</v>
      </c>
    </row>
    <row r="30" customFormat="false" ht="15" hidden="false" customHeight="false" outlineLevel="0" collapsed="false">
      <c r="A30" s="5" t="s">
        <v>118</v>
      </c>
      <c r="B30" s="5" t="n">
        <f aca="false">SUMPRODUCT((Unknowns!$A$3:$A$502&lt;&gt;"")*(LEFT(Unknowns!$A$3:$A$502,3)&lt;&gt;"EX-")*(Unknowns!$J$3:$J$502="Blocked - Needs Access"))</f>
        <v>0</v>
      </c>
      <c r="F30" s="16" t="s">
        <v>119</v>
      </c>
    </row>
    <row r="32" customFormat="false" ht="15" hidden="false" customHeight="false" outlineLevel="0" collapsed="false">
      <c r="A32" s="9" t="s">
        <v>120</v>
      </c>
      <c r="B32" s="10"/>
      <c r="C32" s="10"/>
      <c r="D32" s="10"/>
      <c r="E32" s="10"/>
      <c r="F32" s="10"/>
    </row>
    <row r="33" customFormat="false" ht="23.85" hidden="false" customHeight="false" outlineLevel="0" collapsed="false">
      <c r="A33" s="17" t="s">
        <v>121</v>
      </c>
      <c r="B33" s="5" t="n">
        <f aca="false">SUMPRODUCT(('Object Inventory'!$A$3:$A$502&lt;&gt;"")*(LEFT('Object Inventory'!$A$3:$A$502,3)&lt;&gt;"EX-")*((('Object Inventory'!$M$3:$M$502="Custom")+('Object Inventory'!$M$3:$M$502="Customized OOTB"))&gt;0)*(1-(('Object Inventory'!$O$3:$O$502="Documented")+('Object Inventory'!$O$3:$O$502="Validated"))))</f>
        <v>0</v>
      </c>
    </row>
    <row r="34" customFormat="false" ht="15" hidden="false" customHeight="false" outlineLevel="0" collapsed="false">
      <c r="A34" s="5" t="s">
        <v>122</v>
      </c>
      <c r="B34" s="5" t="n">
        <f aca="false">SUMPRODUCT(('Object Inventory'!$A$3:$A$502&lt;&gt;"")*(LEFT('Object Inventory'!$A$3:$A$502,3)&lt;&gt;"EX-")*('Object Inventory'!$I$3:$I$502="")*('Object Inventory'!$J$3:$J$502=""))</f>
        <v>0</v>
      </c>
    </row>
    <row r="35" customFormat="false" ht="15" hidden="false" customHeight="false" outlineLevel="0" collapsed="false">
      <c r="A35" s="5" t="s">
        <v>123</v>
      </c>
      <c r="B35" s="5" t="n">
        <f aca="false">SUMPRODUCT(('Object Inventory'!$A$3:$A$502&lt;&gt;"")*(LEFT('Object Inventory'!$A$3:$A$502,3)&lt;&gt;"EX-")*('Object Inventory'!$J$3:$J$502=""))</f>
        <v>0</v>
      </c>
    </row>
    <row r="36" customFormat="false" ht="15" hidden="false" customHeight="false" outlineLevel="0" collapsed="false">
      <c r="A36" s="5" t="s">
        <v>124</v>
      </c>
      <c r="B36" s="5" t="n">
        <f aca="false">SUMPRODUCT(('Object Inventory'!$A$3:$A$502&lt;&gt;"")*(LEFT('Object Inventory'!$A$3:$A$502,3)&lt;&gt;"EX-")*((('Object Inventory'!$P$3:$P$502="Low")+('Object Inventory'!$P$3:$P$502="Unknown")+('Object Inventory'!$P$3:$P$502=""))&gt;0))</f>
        <v>0</v>
      </c>
    </row>
    <row r="37" customFormat="false" ht="15" hidden="false" customHeight="false" outlineLevel="0" collapsed="false">
      <c r="A37" s="5" t="s">
        <v>125</v>
      </c>
      <c r="B37" s="5" t="n">
        <f aca="false">SUMPRODUCT(('Object Inventory'!$A$3:$A$502&lt;&gt;"")*(LEFT('Object Inventory'!$A$3:$A$502,3)&lt;&gt;"EX-")*('Object Inventory'!$N$3:$N$502="Critical")*(1-(('Object Inventory'!$O$3:$O$502="Documented")+('Object Inventory'!$O$3:$O$502="Validated"))))</f>
        <v>0</v>
      </c>
    </row>
    <row r="38" customFormat="false" ht="15" hidden="false" customHeight="false" outlineLevel="0" collapsed="false">
      <c r="A38" s="5" t="s">
        <v>126</v>
      </c>
      <c r="B38" s="5" t="n">
        <f aca="false">SUMPRODUCT((Dependencies!$A$3:$A$502&lt;&gt;"")*(LEFT(Dependencies!$A$3:$A$502,3)&lt;&gt;"EX-"))</f>
        <v>0</v>
      </c>
    </row>
    <row r="39" customFormat="false" ht="15" hidden="false" customHeight="false" outlineLevel="0" collapsed="false">
      <c r="A39" s="5" t="s">
        <v>127</v>
      </c>
      <c r="B39" s="5" t="n">
        <f aca="false">SUMPRODUCT(--(LEFT('Object Inventory'!$A$3:$A$502,3)="EX-"))+SUMPRODUCT(--(LEFT(Tables!$A$3:$A$502,3)="EX-"))+SUMPRODUCT(--(LEFT(Flows!$A$3:$A$502,3)="EX-"))+SUMPRODUCT(--(LEFT('Catalog Items'!$A$3:$A$502,3)="EX-"))+SUMPRODUCT(--(LEFT(Integrations!$A$3:$A$502,3)="EX-"))+SUMPRODUCT(--(LEFT('Scripts &amp; Rules'!$A$3:$A$502,3)="EX-"))+SUMPRODUCT(--(LEFT(Dependencies!$A$3:$A$502,3)="EX-"))+SUMPRODUCT(--(LEFT(Risks!$A$3:$A$502,3)="EX-"))+SUMPRODUCT(--(LEFT(Unknowns!$A$3:$A$502,3)="EX-"))</f>
        <v>22</v>
      </c>
      <c r="F39" s="16" t="s">
        <v>128</v>
      </c>
    </row>
    <row r="41" customFormat="false" ht="15" hidden="false" customHeight="false" outlineLevel="0" collapsed="false">
      <c r="A41" s="9" t="s">
        <v>129</v>
      </c>
      <c r="B41" s="10"/>
      <c r="C41" s="10"/>
      <c r="D41" s="10"/>
      <c r="E41" s="10"/>
      <c r="F41" s="10"/>
    </row>
    <row r="42" customFormat="false" ht="15" hidden="false" customHeight="false" outlineLevel="0" collapsed="false">
      <c r="A42" s="13" t="s">
        <v>130</v>
      </c>
      <c r="B42" s="13" t="s">
        <v>97</v>
      </c>
      <c r="C42" s="13" t="s">
        <v>98</v>
      </c>
      <c r="D42" s="13" t="s">
        <v>99</v>
      </c>
      <c r="E42" s="13" t="s">
        <v>131</v>
      </c>
    </row>
    <row r="43" customFormat="false" ht="15" hidden="false" customHeight="false" outlineLevel="0" collapsed="false">
      <c r="A43" s="5" t="s">
        <v>132</v>
      </c>
      <c r="B43" s="5" t="n">
        <f aca="false">SUMPRODUCT(('Object Inventory'!$A$3:$A$502&lt;&gt;"")*(LEFT('Object Inventory'!$A$3:$A$502,3)&lt;&gt;"EX-")*('Object Inventory'!$D$3:$D$502=A43))</f>
        <v>0</v>
      </c>
      <c r="C43" s="5" t="n">
        <f aca="false">SUMPRODUCT(('Object Inventory'!$A$3:$A$502&lt;&gt;"")*(LEFT('Object Inventory'!$A$3:$A$502,3)&lt;&gt;"EX-")*('Object Inventory'!$D$3:$D$502=A43)*(('Object Inventory'!$O$3:$O$502="Documented")+('Object Inventory'!$O$3:$O$502="Validated")))</f>
        <v>0</v>
      </c>
      <c r="D43" s="14" t="str">
        <f aca="false">IF(B43=0,"",C43/B43)</f>
        <v/>
      </c>
      <c r="E43" s="5" t="n">
        <f aca="false">SUMPRODUCT(('Object Inventory'!$A$3:$A$502&lt;&gt;"")*(LEFT('Object Inventory'!$A$3:$A$502,3)&lt;&gt;"EX-")*('Object Inventory'!$D$3:$D$502=A43)*('Object Inventory'!$I$3:$I$502="")*('Object Inventory'!$J$3:$J$502=""))</f>
        <v>0</v>
      </c>
    </row>
    <row r="44" customFormat="false" ht="15" hidden="false" customHeight="false" outlineLevel="0" collapsed="false">
      <c r="A44" s="5" t="s">
        <v>133</v>
      </c>
      <c r="B44" s="5" t="n">
        <f aca="false">SUMPRODUCT(('Object Inventory'!$A$3:$A$502&lt;&gt;"")*(LEFT('Object Inventory'!$A$3:$A$502,3)&lt;&gt;"EX-")*('Object Inventory'!$D$3:$D$502=A44))</f>
        <v>0</v>
      </c>
      <c r="C44" s="5" t="n">
        <f aca="false">SUMPRODUCT(('Object Inventory'!$A$3:$A$502&lt;&gt;"")*(LEFT('Object Inventory'!$A$3:$A$502,3)&lt;&gt;"EX-")*('Object Inventory'!$D$3:$D$502=A44)*(('Object Inventory'!$O$3:$O$502="Documented")+('Object Inventory'!$O$3:$O$502="Validated")))</f>
        <v>0</v>
      </c>
      <c r="D44" s="14" t="str">
        <f aca="false">IF(B44=0,"",C44/B44)</f>
        <v/>
      </c>
      <c r="E44" s="5" t="n">
        <f aca="false">SUMPRODUCT(('Object Inventory'!$A$3:$A$502&lt;&gt;"")*(LEFT('Object Inventory'!$A$3:$A$502,3)&lt;&gt;"EX-")*('Object Inventory'!$D$3:$D$502=A44)*('Object Inventory'!$I$3:$I$502="")*('Object Inventory'!$J$3:$J$502=""))</f>
        <v>0</v>
      </c>
    </row>
    <row r="45" customFormat="false" ht="15" hidden="false" customHeight="false" outlineLevel="0" collapsed="false">
      <c r="A45" s="5" t="s">
        <v>134</v>
      </c>
      <c r="B45" s="5" t="n">
        <f aca="false">SUMPRODUCT(('Object Inventory'!$A$3:$A$502&lt;&gt;"")*(LEFT('Object Inventory'!$A$3:$A$502,3)&lt;&gt;"EX-")*('Object Inventory'!$D$3:$D$502=A45))</f>
        <v>0</v>
      </c>
      <c r="C45" s="5" t="n">
        <f aca="false">SUMPRODUCT(('Object Inventory'!$A$3:$A$502&lt;&gt;"")*(LEFT('Object Inventory'!$A$3:$A$502,3)&lt;&gt;"EX-")*('Object Inventory'!$D$3:$D$502=A45)*(('Object Inventory'!$O$3:$O$502="Documented")+('Object Inventory'!$O$3:$O$502="Validated")))</f>
        <v>0</v>
      </c>
      <c r="D45" s="14" t="str">
        <f aca="false">IF(B45=0,"",C45/B45)</f>
        <v/>
      </c>
      <c r="E45" s="5" t="n">
        <f aca="false">SUMPRODUCT(('Object Inventory'!$A$3:$A$502&lt;&gt;"")*(LEFT('Object Inventory'!$A$3:$A$502,3)&lt;&gt;"EX-")*('Object Inventory'!$D$3:$D$502=A45)*('Object Inventory'!$I$3:$I$502="")*('Object Inventory'!$J$3:$J$502=""))</f>
        <v>0</v>
      </c>
    </row>
    <row r="46" customFormat="false" ht="15" hidden="false" customHeight="false" outlineLevel="0" collapsed="false">
      <c r="A46" s="5" t="s">
        <v>135</v>
      </c>
      <c r="B46" s="5" t="n">
        <f aca="false">SUMPRODUCT(('Object Inventory'!$A$3:$A$502&lt;&gt;"")*(LEFT('Object Inventory'!$A$3:$A$502,3)&lt;&gt;"EX-")*('Object Inventory'!$D$3:$D$502=A46))</f>
        <v>0</v>
      </c>
      <c r="C46" s="5" t="n">
        <f aca="false">SUMPRODUCT(('Object Inventory'!$A$3:$A$502&lt;&gt;"")*(LEFT('Object Inventory'!$A$3:$A$502,3)&lt;&gt;"EX-")*('Object Inventory'!$D$3:$D$502=A46)*(('Object Inventory'!$O$3:$O$502="Documented")+('Object Inventory'!$O$3:$O$502="Validated")))</f>
        <v>0</v>
      </c>
      <c r="D46" s="14" t="str">
        <f aca="false">IF(B46=0,"",C46/B46)</f>
        <v/>
      </c>
      <c r="E46" s="5" t="n">
        <f aca="false">SUMPRODUCT(('Object Inventory'!$A$3:$A$502&lt;&gt;"")*(LEFT('Object Inventory'!$A$3:$A$502,3)&lt;&gt;"EX-")*('Object Inventory'!$D$3:$D$502=A46)*('Object Inventory'!$I$3:$I$502="")*('Object Inventory'!$J$3:$J$502=""))</f>
        <v>0</v>
      </c>
    </row>
    <row r="47" customFormat="false" ht="15" hidden="false" customHeight="false" outlineLevel="0" collapsed="false">
      <c r="A47" s="5" t="s">
        <v>136</v>
      </c>
      <c r="B47" s="5" t="n">
        <f aca="false">SUMPRODUCT(('Object Inventory'!$A$3:$A$502&lt;&gt;"")*(LEFT('Object Inventory'!$A$3:$A$502,3)&lt;&gt;"EX-")*('Object Inventory'!$D$3:$D$502=A47))</f>
        <v>0</v>
      </c>
      <c r="C47" s="5" t="n">
        <f aca="false">SUMPRODUCT(('Object Inventory'!$A$3:$A$502&lt;&gt;"")*(LEFT('Object Inventory'!$A$3:$A$502,3)&lt;&gt;"EX-")*('Object Inventory'!$D$3:$D$502=A47)*(('Object Inventory'!$O$3:$O$502="Documented")+('Object Inventory'!$O$3:$O$502="Validated")))</f>
        <v>0</v>
      </c>
      <c r="D47" s="14" t="str">
        <f aca="false">IF(B47=0,"",C47/B47)</f>
        <v/>
      </c>
      <c r="E47" s="5" t="n">
        <f aca="false">SUMPRODUCT(('Object Inventory'!$A$3:$A$502&lt;&gt;"")*(LEFT('Object Inventory'!$A$3:$A$502,3)&lt;&gt;"EX-")*('Object Inventory'!$D$3:$D$502=A47)*('Object Inventory'!$I$3:$I$502="")*('Object Inventory'!$J$3:$J$502=""))</f>
        <v>0</v>
      </c>
    </row>
    <row r="48" customFormat="false" ht="15" hidden="false" customHeight="false" outlineLevel="0" collapsed="false">
      <c r="A48" s="5" t="s">
        <v>137</v>
      </c>
      <c r="B48" s="5" t="n">
        <f aca="false">SUMPRODUCT(('Object Inventory'!$A$3:$A$502&lt;&gt;"")*(LEFT('Object Inventory'!$A$3:$A$502,3)&lt;&gt;"EX-")*('Object Inventory'!$D$3:$D$502=A48))</f>
        <v>0</v>
      </c>
      <c r="C48" s="5" t="n">
        <f aca="false">SUMPRODUCT(('Object Inventory'!$A$3:$A$502&lt;&gt;"")*(LEFT('Object Inventory'!$A$3:$A$502,3)&lt;&gt;"EX-")*('Object Inventory'!$D$3:$D$502=A48)*(('Object Inventory'!$O$3:$O$502="Documented")+('Object Inventory'!$O$3:$O$502="Validated")))</f>
        <v>0</v>
      </c>
      <c r="D48" s="14" t="str">
        <f aca="false">IF(B48=0,"",C48/B48)</f>
        <v/>
      </c>
      <c r="E48" s="5" t="n">
        <f aca="false">SUMPRODUCT(('Object Inventory'!$A$3:$A$502&lt;&gt;"")*(LEFT('Object Inventory'!$A$3:$A$502,3)&lt;&gt;"EX-")*('Object Inventory'!$D$3:$D$502=A48)*('Object Inventory'!$I$3:$I$502="")*('Object Inventory'!$J$3:$J$502=""))</f>
        <v>0</v>
      </c>
    </row>
    <row r="49" customFormat="false" ht="15" hidden="false" customHeight="false" outlineLevel="0" collapsed="false">
      <c r="A49" s="5" t="s">
        <v>138</v>
      </c>
      <c r="B49" s="5" t="n">
        <f aca="false">SUMPRODUCT(('Object Inventory'!$A$3:$A$502&lt;&gt;"")*(LEFT('Object Inventory'!$A$3:$A$502,3)&lt;&gt;"EX-")*('Object Inventory'!$D$3:$D$502=A49))</f>
        <v>0</v>
      </c>
      <c r="C49" s="5" t="n">
        <f aca="false">SUMPRODUCT(('Object Inventory'!$A$3:$A$502&lt;&gt;"")*(LEFT('Object Inventory'!$A$3:$A$502,3)&lt;&gt;"EX-")*('Object Inventory'!$D$3:$D$502=A49)*(('Object Inventory'!$O$3:$O$502="Documented")+('Object Inventory'!$O$3:$O$502="Validated")))</f>
        <v>0</v>
      </c>
      <c r="D49" s="14" t="str">
        <f aca="false">IF(B49=0,"",C49/B49)</f>
        <v/>
      </c>
      <c r="E49" s="5" t="n">
        <f aca="false">SUMPRODUCT(('Object Inventory'!$A$3:$A$502&lt;&gt;"")*(LEFT('Object Inventory'!$A$3:$A$502,3)&lt;&gt;"EX-")*('Object Inventory'!$D$3:$D$502=A49)*('Object Inventory'!$I$3:$I$502="")*('Object Inventory'!$J$3:$J$502=""))</f>
        <v>0</v>
      </c>
    </row>
    <row r="50" customFormat="false" ht="15" hidden="false" customHeight="false" outlineLevel="0" collapsed="false">
      <c r="A50" s="5" t="s">
        <v>139</v>
      </c>
      <c r="B50" s="5" t="n">
        <f aca="false">SUMPRODUCT(('Object Inventory'!$A$3:$A$502&lt;&gt;"")*(LEFT('Object Inventory'!$A$3:$A$502,3)&lt;&gt;"EX-")*('Object Inventory'!$D$3:$D$502=A50))</f>
        <v>0</v>
      </c>
      <c r="C50" s="5" t="n">
        <f aca="false">SUMPRODUCT(('Object Inventory'!$A$3:$A$502&lt;&gt;"")*(LEFT('Object Inventory'!$A$3:$A$502,3)&lt;&gt;"EX-")*('Object Inventory'!$D$3:$D$502=A50)*(('Object Inventory'!$O$3:$O$502="Documented")+('Object Inventory'!$O$3:$O$502="Validated")))</f>
        <v>0</v>
      </c>
      <c r="D50" s="14" t="str">
        <f aca="false">IF(B50=0,"",C50/B50)</f>
        <v/>
      </c>
      <c r="E50" s="5" t="n">
        <f aca="false">SUMPRODUCT(('Object Inventory'!$A$3:$A$502&lt;&gt;"")*(LEFT('Object Inventory'!$A$3:$A$502,3)&lt;&gt;"EX-")*('Object Inventory'!$D$3:$D$502=A50)*('Object Inventory'!$I$3:$I$502="")*('Object Inventory'!$J$3:$J$502=""))</f>
        <v>0</v>
      </c>
    </row>
    <row r="51" customFormat="false" ht="15" hidden="false" customHeight="false" outlineLevel="0" collapsed="false">
      <c r="A51" s="5" t="s">
        <v>140</v>
      </c>
      <c r="B51" s="5" t="n">
        <f aca="false">SUMPRODUCT(('Object Inventory'!$A$3:$A$502&lt;&gt;"")*(LEFT('Object Inventory'!$A$3:$A$502,3)&lt;&gt;"EX-")*('Object Inventory'!$D$3:$D$502=A51))</f>
        <v>0</v>
      </c>
      <c r="C51" s="5" t="n">
        <f aca="false">SUMPRODUCT(('Object Inventory'!$A$3:$A$502&lt;&gt;"")*(LEFT('Object Inventory'!$A$3:$A$502,3)&lt;&gt;"EX-")*('Object Inventory'!$D$3:$D$502=A51)*(('Object Inventory'!$O$3:$O$502="Documented")+('Object Inventory'!$O$3:$O$502="Validated")))</f>
        <v>0</v>
      </c>
      <c r="D51" s="14" t="str">
        <f aca="false">IF(B51=0,"",C51/B51)</f>
        <v/>
      </c>
      <c r="E51" s="5" t="n">
        <f aca="false">SUMPRODUCT(('Object Inventory'!$A$3:$A$502&lt;&gt;"")*(LEFT('Object Inventory'!$A$3:$A$502,3)&lt;&gt;"EX-")*('Object Inventory'!$D$3:$D$502=A51)*('Object Inventory'!$I$3:$I$502="")*('Object Inventory'!$J$3:$J$502=""))</f>
        <v>0</v>
      </c>
    </row>
    <row r="52" customFormat="false" ht="15" hidden="false" customHeight="false" outlineLevel="0" collapsed="false">
      <c r="A52" s="5" t="s">
        <v>141</v>
      </c>
      <c r="B52" s="5" t="n">
        <f aca="false">SUMPRODUCT(('Object Inventory'!$A$3:$A$502&lt;&gt;"")*(LEFT('Object Inventory'!$A$3:$A$502,3)&lt;&gt;"EX-")*('Object Inventory'!$D$3:$D$502=A52))</f>
        <v>0</v>
      </c>
      <c r="C52" s="5" t="n">
        <f aca="false">SUMPRODUCT(('Object Inventory'!$A$3:$A$502&lt;&gt;"")*(LEFT('Object Inventory'!$A$3:$A$502,3)&lt;&gt;"EX-")*('Object Inventory'!$D$3:$D$502=A52)*(('Object Inventory'!$O$3:$O$502="Documented")+('Object Inventory'!$O$3:$O$502="Validated")))</f>
        <v>0</v>
      </c>
      <c r="D52" s="14" t="str">
        <f aca="false">IF(B52=0,"",C52/B52)</f>
        <v/>
      </c>
      <c r="E52" s="5" t="n">
        <f aca="false">SUMPRODUCT(('Object Inventory'!$A$3:$A$502&lt;&gt;"")*(LEFT('Object Inventory'!$A$3:$A$502,3)&lt;&gt;"EX-")*('Object Inventory'!$D$3:$D$502=A52)*('Object Inventory'!$I$3:$I$502="")*('Object Inventory'!$J$3:$J$502=""))</f>
        <v>0</v>
      </c>
    </row>
    <row r="53" customFormat="false" ht="15" hidden="false" customHeight="false" outlineLevel="0" collapsed="false">
      <c r="A53" s="5" t="s">
        <v>142</v>
      </c>
      <c r="B53" s="5" t="n">
        <f aca="false">SUMPRODUCT(('Object Inventory'!$A$3:$A$502&lt;&gt;"")*(LEFT('Object Inventory'!$A$3:$A$502,3)&lt;&gt;"EX-")*('Object Inventory'!$D$3:$D$502=A53))</f>
        <v>0</v>
      </c>
      <c r="C53" s="5" t="n">
        <f aca="false">SUMPRODUCT(('Object Inventory'!$A$3:$A$502&lt;&gt;"")*(LEFT('Object Inventory'!$A$3:$A$502,3)&lt;&gt;"EX-")*('Object Inventory'!$D$3:$D$502=A53)*(('Object Inventory'!$O$3:$O$502="Documented")+('Object Inventory'!$O$3:$O$502="Validated")))</f>
        <v>0</v>
      </c>
      <c r="D53" s="14" t="str">
        <f aca="false">IF(B53=0,"",C53/B53)</f>
        <v/>
      </c>
      <c r="E53" s="5" t="n">
        <f aca="false">SUMPRODUCT(('Object Inventory'!$A$3:$A$502&lt;&gt;"")*(LEFT('Object Inventory'!$A$3:$A$502,3)&lt;&gt;"EX-")*('Object Inventory'!$D$3:$D$502=A53)*('Object Inventory'!$I$3:$I$502="")*('Object Inventory'!$J$3:$J$502=""))</f>
        <v>0</v>
      </c>
    </row>
    <row r="54" customFormat="false" ht="15" hidden="false" customHeight="false" outlineLevel="0" collapsed="false">
      <c r="A54" s="5" t="s">
        <v>143</v>
      </c>
      <c r="B54" s="5" t="n">
        <f aca="false">SUMPRODUCT(('Object Inventory'!$A$3:$A$502&lt;&gt;"")*(LEFT('Object Inventory'!$A$3:$A$502,3)&lt;&gt;"EX-")*('Object Inventory'!$D$3:$D$502=A54))</f>
        <v>0</v>
      </c>
      <c r="C54" s="5" t="n">
        <f aca="false">SUMPRODUCT(('Object Inventory'!$A$3:$A$502&lt;&gt;"")*(LEFT('Object Inventory'!$A$3:$A$502,3)&lt;&gt;"EX-")*('Object Inventory'!$D$3:$D$502=A54)*(('Object Inventory'!$O$3:$O$502="Documented")+('Object Inventory'!$O$3:$O$502="Validated")))</f>
        <v>0</v>
      </c>
      <c r="D54" s="14" t="str">
        <f aca="false">IF(B54=0,"",C54/B54)</f>
        <v/>
      </c>
      <c r="E54" s="5" t="n">
        <f aca="false">SUMPRODUCT(('Object Inventory'!$A$3:$A$502&lt;&gt;"")*(LEFT('Object Inventory'!$A$3:$A$502,3)&lt;&gt;"EX-")*('Object Inventory'!$D$3:$D$502=A54)*('Object Inventory'!$I$3:$I$502="")*('Object Inventory'!$J$3:$J$502=""))</f>
        <v>0</v>
      </c>
    </row>
    <row r="55" customFormat="false" ht="15" hidden="false" customHeight="false" outlineLevel="0" collapsed="false">
      <c r="A55" s="5" t="s">
        <v>144</v>
      </c>
      <c r="B55" s="5" t="n">
        <f aca="false">SUMPRODUCT(('Object Inventory'!$A$3:$A$502&lt;&gt;"")*(LEFT('Object Inventory'!$A$3:$A$502,3)&lt;&gt;"EX-")*('Object Inventory'!$D$3:$D$502=A55))</f>
        <v>0</v>
      </c>
      <c r="C55" s="5" t="n">
        <f aca="false">SUMPRODUCT(('Object Inventory'!$A$3:$A$502&lt;&gt;"")*(LEFT('Object Inventory'!$A$3:$A$502,3)&lt;&gt;"EX-")*('Object Inventory'!$D$3:$D$502=A55)*(('Object Inventory'!$O$3:$O$502="Documented")+('Object Inventory'!$O$3:$O$502="Validated")))</f>
        <v>0</v>
      </c>
      <c r="D55" s="14" t="str">
        <f aca="false">IF(B55=0,"",C55/B55)</f>
        <v/>
      </c>
      <c r="E55" s="5" t="n">
        <f aca="false">SUMPRODUCT(('Object Inventory'!$A$3:$A$502&lt;&gt;"")*(LEFT('Object Inventory'!$A$3:$A$502,3)&lt;&gt;"EX-")*('Object Inventory'!$D$3:$D$502=A55)*('Object Inventory'!$I$3:$I$502="")*('Object Inventory'!$J$3:$J$502=""))</f>
        <v>0</v>
      </c>
    </row>
    <row r="56" customFormat="false" ht="15" hidden="false" customHeight="false" outlineLevel="0" collapsed="false">
      <c r="A56" s="5" t="s">
        <v>145</v>
      </c>
      <c r="B56" s="5" t="n">
        <f aca="false">SUMPRODUCT(('Object Inventory'!$A$3:$A$502&lt;&gt;"")*(LEFT('Object Inventory'!$A$3:$A$502,3)&lt;&gt;"EX-")*('Object Inventory'!$D$3:$D$502=A56))</f>
        <v>0</v>
      </c>
      <c r="C56" s="5" t="n">
        <f aca="false">SUMPRODUCT(('Object Inventory'!$A$3:$A$502&lt;&gt;"")*(LEFT('Object Inventory'!$A$3:$A$502,3)&lt;&gt;"EX-")*('Object Inventory'!$D$3:$D$502=A56)*(('Object Inventory'!$O$3:$O$502="Documented")+('Object Inventory'!$O$3:$O$502="Validated")))</f>
        <v>0</v>
      </c>
      <c r="D56" s="14" t="str">
        <f aca="false">IF(B56=0,"",C56/B56)</f>
        <v/>
      </c>
      <c r="E56" s="5" t="n">
        <f aca="false">SUMPRODUCT(('Object Inventory'!$A$3:$A$502&lt;&gt;"")*(LEFT('Object Inventory'!$A$3:$A$502,3)&lt;&gt;"EX-")*('Object Inventory'!$D$3:$D$502=A56)*('Object Inventory'!$I$3:$I$502="")*('Object Inventory'!$J$3:$J$502=""))</f>
        <v>0</v>
      </c>
    </row>
    <row r="57" customFormat="false" ht="15" hidden="false" customHeight="false" outlineLevel="0" collapsed="false">
      <c r="A57" s="5" t="s">
        <v>146</v>
      </c>
      <c r="B57" s="5" t="n">
        <f aca="false">SUMPRODUCT(('Object Inventory'!$A$3:$A$502&lt;&gt;"")*(LEFT('Object Inventory'!$A$3:$A$502,3)&lt;&gt;"EX-")*('Object Inventory'!$D$3:$D$502=A57))</f>
        <v>0</v>
      </c>
      <c r="C57" s="5" t="n">
        <f aca="false">SUMPRODUCT(('Object Inventory'!$A$3:$A$502&lt;&gt;"")*(LEFT('Object Inventory'!$A$3:$A$502,3)&lt;&gt;"EX-")*('Object Inventory'!$D$3:$D$502=A57)*(('Object Inventory'!$O$3:$O$502="Documented")+('Object Inventory'!$O$3:$O$502="Validated")))</f>
        <v>0</v>
      </c>
      <c r="D57" s="14" t="str">
        <f aca="false">IF(B57=0,"",C57/B57)</f>
        <v/>
      </c>
      <c r="E57" s="5" t="n">
        <f aca="false">SUMPRODUCT(('Object Inventory'!$A$3:$A$502&lt;&gt;"")*(LEFT('Object Inventory'!$A$3:$A$502,3)&lt;&gt;"EX-")*('Object Inventory'!$D$3:$D$502=A57)*('Object Inventory'!$I$3:$I$502="")*('Object Inventory'!$J$3:$J$502=""))</f>
        <v>0</v>
      </c>
    </row>
    <row r="58" customFormat="false" ht="15" hidden="false" customHeight="false" outlineLevel="0" collapsed="false">
      <c r="A58" s="5" t="s">
        <v>147</v>
      </c>
      <c r="B58" s="5" t="n">
        <f aca="false">SUMPRODUCT(('Object Inventory'!$A$3:$A$502&lt;&gt;"")*(LEFT('Object Inventory'!$A$3:$A$502,3)&lt;&gt;"EX-")*('Object Inventory'!$D$3:$D$502=A58))</f>
        <v>0</v>
      </c>
      <c r="C58" s="5" t="n">
        <f aca="false">SUMPRODUCT(('Object Inventory'!$A$3:$A$502&lt;&gt;"")*(LEFT('Object Inventory'!$A$3:$A$502,3)&lt;&gt;"EX-")*('Object Inventory'!$D$3:$D$502=A58)*(('Object Inventory'!$O$3:$O$502="Documented")+('Object Inventory'!$O$3:$O$502="Validated")))</f>
        <v>0</v>
      </c>
      <c r="D58" s="14" t="str">
        <f aca="false">IF(B58=0,"",C58/B58)</f>
        <v/>
      </c>
      <c r="E58" s="5" t="n">
        <f aca="false">SUMPRODUCT(('Object Inventory'!$A$3:$A$502&lt;&gt;"")*(LEFT('Object Inventory'!$A$3:$A$502,3)&lt;&gt;"EX-")*('Object Inventory'!$D$3:$D$502=A58)*('Object Inventory'!$I$3:$I$502="")*('Object Inventory'!$J$3:$J$502=""))</f>
        <v>0</v>
      </c>
    </row>
    <row r="59" customFormat="false" ht="15" hidden="false" customHeight="false" outlineLevel="0" collapsed="false">
      <c r="A59" s="5" t="s">
        <v>148</v>
      </c>
      <c r="B59" s="5" t="n">
        <f aca="false">SUMPRODUCT(('Object Inventory'!$A$3:$A$502&lt;&gt;"")*(LEFT('Object Inventory'!$A$3:$A$502,3)&lt;&gt;"EX-")*('Object Inventory'!$D$3:$D$502=A59))</f>
        <v>0</v>
      </c>
      <c r="C59" s="5" t="n">
        <f aca="false">SUMPRODUCT(('Object Inventory'!$A$3:$A$502&lt;&gt;"")*(LEFT('Object Inventory'!$A$3:$A$502,3)&lt;&gt;"EX-")*('Object Inventory'!$D$3:$D$502=A59)*(('Object Inventory'!$O$3:$O$502="Documented")+('Object Inventory'!$O$3:$O$502="Validated")))</f>
        <v>0</v>
      </c>
      <c r="D59" s="14" t="str">
        <f aca="false">IF(B59=0,"",C59/B59)</f>
        <v/>
      </c>
      <c r="E59" s="5" t="n">
        <f aca="false">SUMPRODUCT(('Object Inventory'!$A$3:$A$502&lt;&gt;"")*(LEFT('Object Inventory'!$A$3:$A$502,3)&lt;&gt;"EX-")*('Object Inventory'!$D$3:$D$502=A59)*('Object Inventory'!$I$3:$I$502="")*('Object Inventory'!$J$3:$J$502=""))</f>
        <v>0</v>
      </c>
    </row>
    <row r="60" customFormat="false" ht="15" hidden="false" customHeight="false" outlineLevel="0" collapsed="false">
      <c r="A60" s="5" t="s">
        <v>149</v>
      </c>
      <c r="B60" s="5" t="n">
        <f aca="false">SUMPRODUCT(('Object Inventory'!$A$3:$A$502&lt;&gt;"")*(LEFT('Object Inventory'!$A$3:$A$502,3)&lt;&gt;"EX-")*('Object Inventory'!$D$3:$D$502=A60))</f>
        <v>0</v>
      </c>
      <c r="C60" s="5" t="n">
        <f aca="false">SUMPRODUCT(('Object Inventory'!$A$3:$A$502&lt;&gt;"")*(LEFT('Object Inventory'!$A$3:$A$502,3)&lt;&gt;"EX-")*('Object Inventory'!$D$3:$D$502=A60)*(('Object Inventory'!$O$3:$O$502="Documented")+('Object Inventory'!$O$3:$O$502="Validated")))</f>
        <v>0</v>
      </c>
      <c r="D60" s="14" t="str">
        <f aca="false">IF(B60=0,"",C60/B60)</f>
        <v/>
      </c>
      <c r="E60" s="5" t="n">
        <f aca="false">SUMPRODUCT(('Object Inventory'!$A$3:$A$502&lt;&gt;"")*(LEFT('Object Inventory'!$A$3:$A$502,3)&lt;&gt;"EX-")*('Object Inventory'!$D$3:$D$502=A60)*('Object Inventory'!$I$3:$I$502="")*('Object Inventory'!$J$3:$J$502=""))</f>
        <v>0</v>
      </c>
    </row>
    <row r="61" customFormat="false" ht="15" hidden="false" customHeight="false" outlineLevel="0" collapsed="false">
      <c r="A61" s="5" t="s">
        <v>150</v>
      </c>
      <c r="B61" s="5" t="n">
        <f aca="false">SUMPRODUCT(('Object Inventory'!$A$3:$A$502&lt;&gt;"")*(LEFT('Object Inventory'!$A$3:$A$502,3)&lt;&gt;"EX-")*('Object Inventory'!$D$3:$D$502=A61))</f>
        <v>0</v>
      </c>
      <c r="C61" s="5" t="n">
        <f aca="false">SUMPRODUCT(('Object Inventory'!$A$3:$A$502&lt;&gt;"")*(LEFT('Object Inventory'!$A$3:$A$502,3)&lt;&gt;"EX-")*('Object Inventory'!$D$3:$D$502=A61)*(('Object Inventory'!$O$3:$O$502="Documented")+('Object Inventory'!$O$3:$O$502="Validated")))</f>
        <v>0</v>
      </c>
      <c r="D61" s="14" t="str">
        <f aca="false">IF(B61=0,"",C61/B61)</f>
        <v/>
      </c>
      <c r="E61" s="5" t="n">
        <f aca="false">SUMPRODUCT(('Object Inventory'!$A$3:$A$502&lt;&gt;"")*(LEFT('Object Inventory'!$A$3:$A$502,3)&lt;&gt;"EX-")*('Object Inventory'!$D$3:$D$502=A61)*('Object Inventory'!$I$3:$I$502="")*('Object Inventory'!$J$3:$J$502=""))</f>
        <v>0</v>
      </c>
    </row>
    <row r="62" customFormat="false" ht="15" hidden="false" customHeight="false" outlineLevel="0" collapsed="false">
      <c r="A62" s="5" t="s">
        <v>151</v>
      </c>
      <c r="B62" s="5" t="n">
        <f aca="false">SUMPRODUCT(('Object Inventory'!$A$3:$A$502&lt;&gt;"")*(LEFT('Object Inventory'!$A$3:$A$502,3)&lt;&gt;"EX-")*('Object Inventory'!$D$3:$D$502=A62))</f>
        <v>0</v>
      </c>
      <c r="C62" s="5" t="n">
        <f aca="false">SUMPRODUCT(('Object Inventory'!$A$3:$A$502&lt;&gt;"")*(LEFT('Object Inventory'!$A$3:$A$502,3)&lt;&gt;"EX-")*('Object Inventory'!$D$3:$D$502=A62)*(('Object Inventory'!$O$3:$O$502="Documented")+('Object Inventory'!$O$3:$O$502="Validated")))</f>
        <v>0</v>
      </c>
      <c r="D62" s="14" t="str">
        <f aca="false">IF(B62=0,"",C62/B62)</f>
        <v/>
      </c>
      <c r="E62" s="5" t="n">
        <f aca="false">SUMPRODUCT(('Object Inventory'!$A$3:$A$502&lt;&gt;"")*(LEFT('Object Inventory'!$A$3:$A$502,3)&lt;&gt;"EX-")*('Object Inventory'!$D$3:$D$502=A62)*('Object Inventory'!$I$3:$I$502="")*('Object Inventory'!$J$3:$J$502=""))</f>
        <v>0</v>
      </c>
    </row>
    <row r="63" customFormat="false" ht="15" hidden="false" customHeight="false" outlineLevel="0" collapsed="false">
      <c r="A63" s="5" t="s">
        <v>152</v>
      </c>
      <c r="B63" s="5" t="n">
        <f aca="false">SUMPRODUCT(('Object Inventory'!$A$3:$A$502&lt;&gt;"")*(LEFT('Object Inventory'!$A$3:$A$502,3)&lt;&gt;"EX-")*('Object Inventory'!$D$3:$D$502=A63))</f>
        <v>0</v>
      </c>
      <c r="C63" s="5" t="n">
        <f aca="false">SUMPRODUCT(('Object Inventory'!$A$3:$A$502&lt;&gt;"")*(LEFT('Object Inventory'!$A$3:$A$502,3)&lt;&gt;"EX-")*('Object Inventory'!$D$3:$D$502=A63)*(('Object Inventory'!$O$3:$O$502="Documented")+('Object Inventory'!$O$3:$O$502="Validated")))</f>
        <v>0</v>
      </c>
      <c r="D63" s="14" t="str">
        <f aca="false">IF(B63=0,"",C63/B63)</f>
        <v/>
      </c>
      <c r="E63" s="5" t="n">
        <f aca="false">SUMPRODUCT(('Object Inventory'!$A$3:$A$502&lt;&gt;"")*(LEFT('Object Inventory'!$A$3:$A$502,3)&lt;&gt;"EX-")*('Object Inventory'!$D$3:$D$502=A63)*('Object Inventory'!$I$3:$I$502="")*('Object Inventory'!$J$3:$J$502=""))</f>
        <v>0</v>
      </c>
    </row>
    <row r="64" customFormat="false" ht="15" hidden="false" customHeight="false" outlineLevel="0" collapsed="false">
      <c r="A64" s="5" t="s">
        <v>153</v>
      </c>
      <c r="B64" s="5" t="n">
        <f aca="false">SUMPRODUCT(('Object Inventory'!$A$3:$A$502&lt;&gt;"")*(LEFT('Object Inventory'!$A$3:$A$502,3)&lt;&gt;"EX-")*('Object Inventory'!$D$3:$D$502=A64))</f>
        <v>0</v>
      </c>
      <c r="C64" s="5" t="n">
        <f aca="false">SUMPRODUCT(('Object Inventory'!$A$3:$A$502&lt;&gt;"")*(LEFT('Object Inventory'!$A$3:$A$502,3)&lt;&gt;"EX-")*('Object Inventory'!$D$3:$D$502=A64)*(('Object Inventory'!$O$3:$O$502="Documented")+('Object Inventory'!$O$3:$O$502="Validated")))</f>
        <v>0</v>
      </c>
      <c r="D64" s="14" t="str">
        <f aca="false">IF(B64=0,"",C64/B64)</f>
        <v/>
      </c>
      <c r="E64" s="5" t="n">
        <f aca="false">SUMPRODUCT(('Object Inventory'!$A$3:$A$502&lt;&gt;"")*(LEFT('Object Inventory'!$A$3:$A$502,3)&lt;&gt;"EX-")*('Object Inventory'!$D$3:$D$502=A64)*('Object Inventory'!$I$3:$I$502="")*('Object Inventory'!$J$3:$J$502=""))</f>
        <v>0</v>
      </c>
    </row>
    <row r="65" customFormat="false" ht="15" hidden="false" customHeight="false" outlineLevel="0" collapsed="false">
      <c r="A65" s="5" t="s">
        <v>154</v>
      </c>
      <c r="B65" s="5" t="n">
        <f aca="false">SUMPRODUCT(('Object Inventory'!$A$3:$A$502&lt;&gt;"")*(LEFT('Object Inventory'!$A$3:$A$502,3)&lt;&gt;"EX-")*('Object Inventory'!$D$3:$D$502=A65))</f>
        <v>0</v>
      </c>
      <c r="C65" s="5" t="n">
        <f aca="false">SUMPRODUCT(('Object Inventory'!$A$3:$A$502&lt;&gt;"")*(LEFT('Object Inventory'!$A$3:$A$502,3)&lt;&gt;"EX-")*('Object Inventory'!$D$3:$D$502=A65)*(('Object Inventory'!$O$3:$O$502="Documented")+('Object Inventory'!$O$3:$O$502="Validated")))</f>
        <v>0</v>
      </c>
      <c r="D65" s="14" t="str">
        <f aca="false">IF(B65=0,"",C65/B65)</f>
        <v/>
      </c>
      <c r="E65" s="5" t="n">
        <f aca="false">SUMPRODUCT(('Object Inventory'!$A$3:$A$502&lt;&gt;"")*(LEFT('Object Inventory'!$A$3:$A$502,3)&lt;&gt;"EX-")*('Object Inventory'!$D$3:$D$502=A65)*('Object Inventory'!$I$3:$I$502="")*('Object Inventory'!$J$3:$J$502=""))</f>
        <v>0</v>
      </c>
    </row>
    <row r="66" customFormat="false" ht="15" hidden="false" customHeight="false" outlineLevel="0" collapsed="false">
      <c r="A66" s="5" t="s">
        <v>155</v>
      </c>
      <c r="B66" s="5" t="n">
        <f aca="false">SUMPRODUCT(('Object Inventory'!$A$3:$A$502&lt;&gt;"")*(LEFT('Object Inventory'!$A$3:$A$502,3)&lt;&gt;"EX-")*('Object Inventory'!$D$3:$D$502=A66))</f>
        <v>0</v>
      </c>
      <c r="C66" s="5" t="n">
        <f aca="false">SUMPRODUCT(('Object Inventory'!$A$3:$A$502&lt;&gt;"")*(LEFT('Object Inventory'!$A$3:$A$502,3)&lt;&gt;"EX-")*('Object Inventory'!$D$3:$D$502=A66)*(('Object Inventory'!$O$3:$O$502="Documented")+('Object Inventory'!$O$3:$O$502="Validated")))</f>
        <v>0</v>
      </c>
      <c r="D66" s="14" t="str">
        <f aca="false">IF(B66=0,"",C66/B66)</f>
        <v/>
      </c>
      <c r="E66" s="5" t="n">
        <f aca="false">SUMPRODUCT(('Object Inventory'!$A$3:$A$502&lt;&gt;"")*(LEFT('Object Inventory'!$A$3:$A$502,3)&lt;&gt;"EX-")*('Object Inventory'!$D$3:$D$502=A66)*('Object Inventory'!$I$3:$I$502="")*('Object Inventory'!$J$3:$J$502=""))</f>
        <v>0</v>
      </c>
    </row>
    <row r="67" customFormat="false" ht="15" hidden="false" customHeight="false" outlineLevel="0" collapsed="false">
      <c r="A67" s="5" t="s">
        <v>156</v>
      </c>
      <c r="B67" s="5" t="n">
        <f aca="false">SUMPRODUCT(('Object Inventory'!$A$3:$A$502&lt;&gt;"")*(LEFT('Object Inventory'!$A$3:$A$502,3)&lt;&gt;"EX-")*('Object Inventory'!$D$3:$D$502=A67))</f>
        <v>0</v>
      </c>
      <c r="C67" s="5" t="n">
        <f aca="false">SUMPRODUCT(('Object Inventory'!$A$3:$A$502&lt;&gt;"")*(LEFT('Object Inventory'!$A$3:$A$502,3)&lt;&gt;"EX-")*('Object Inventory'!$D$3:$D$502=A67)*(('Object Inventory'!$O$3:$O$502="Documented")+('Object Inventory'!$O$3:$O$502="Validated")))</f>
        <v>0</v>
      </c>
      <c r="D67" s="14" t="str">
        <f aca="false">IF(B67=0,"",C67/B67)</f>
        <v/>
      </c>
      <c r="E67" s="5" t="n">
        <f aca="false">SUMPRODUCT(('Object Inventory'!$A$3:$A$502&lt;&gt;"")*(LEFT('Object Inventory'!$A$3:$A$502,3)&lt;&gt;"EX-")*('Object Inventory'!$D$3:$D$502=A67)*('Object Inventory'!$I$3:$I$502="")*('Object Inventory'!$J$3:$J$502=""))</f>
        <v>0</v>
      </c>
    </row>
    <row r="68" customFormat="false" ht="15" hidden="false" customHeight="false" outlineLevel="0" collapsed="false">
      <c r="A68" s="5" t="s">
        <v>157</v>
      </c>
      <c r="B68" s="5" t="n">
        <f aca="false">SUMPRODUCT(('Object Inventory'!$A$3:$A$502&lt;&gt;"")*(LEFT('Object Inventory'!$A$3:$A$502,3)&lt;&gt;"EX-")*('Object Inventory'!$D$3:$D$502=A68))</f>
        <v>0</v>
      </c>
      <c r="C68" s="5" t="n">
        <f aca="false">SUMPRODUCT(('Object Inventory'!$A$3:$A$502&lt;&gt;"")*(LEFT('Object Inventory'!$A$3:$A$502,3)&lt;&gt;"EX-")*('Object Inventory'!$D$3:$D$502=A68)*(('Object Inventory'!$O$3:$O$502="Documented")+('Object Inventory'!$O$3:$O$502="Validated")))</f>
        <v>0</v>
      </c>
      <c r="D68" s="14" t="str">
        <f aca="false">IF(B68=0,"",C68/B68)</f>
        <v/>
      </c>
      <c r="E68" s="5" t="n">
        <f aca="false">SUMPRODUCT(('Object Inventory'!$A$3:$A$502&lt;&gt;"")*(LEFT('Object Inventory'!$A$3:$A$502,3)&lt;&gt;"EX-")*('Object Inventory'!$D$3:$D$502=A68)*('Object Inventory'!$I$3:$I$502="")*('Object Inventory'!$J$3:$J$502=""))</f>
        <v>0</v>
      </c>
    </row>
    <row r="69" customFormat="false" ht="15" hidden="false" customHeight="false" outlineLevel="0" collapsed="false">
      <c r="A69" s="5" t="s">
        <v>40</v>
      </c>
      <c r="B69" s="5" t="n">
        <f aca="false">SUMPRODUCT(('Object Inventory'!$A$3:$A$502&lt;&gt;"")*(LEFT('Object Inventory'!$A$3:$A$502,3)&lt;&gt;"EX-")*('Object Inventory'!$D$3:$D$502=A69))</f>
        <v>0</v>
      </c>
      <c r="C69" s="5" t="n">
        <f aca="false">SUMPRODUCT(('Object Inventory'!$A$3:$A$502&lt;&gt;"")*(LEFT('Object Inventory'!$A$3:$A$502,3)&lt;&gt;"EX-")*('Object Inventory'!$D$3:$D$502=A69)*(('Object Inventory'!$O$3:$O$502="Documented")+('Object Inventory'!$O$3:$O$502="Validated")))</f>
        <v>0</v>
      </c>
      <c r="D69" s="14" t="str">
        <f aca="false">IF(B69=0,"",C69/B69)</f>
        <v/>
      </c>
      <c r="E69" s="5" t="n">
        <f aca="false">SUMPRODUCT(('Object Inventory'!$A$3:$A$502&lt;&gt;"")*(LEFT('Object Inventory'!$A$3:$A$502,3)&lt;&gt;"EX-")*('Object Inventory'!$D$3:$D$502=A69)*('Object Inventory'!$I$3:$I$502="")*('Object Inventory'!$J$3:$J$502=""))</f>
        <v>0</v>
      </c>
    </row>
    <row r="70" customFormat="false" ht="15" hidden="false" customHeight="false" outlineLevel="0" collapsed="false">
      <c r="A70" s="5" t="s">
        <v>158</v>
      </c>
      <c r="B70" s="5" t="n">
        <f aca="false">SUMPRODUCT(('Object Inventory'!$A$3:$A$502&lt;&gt;"")*(LEFT('Object Inventory'!$A$3:$A$502,3)&lt;&gt;"EX-")*('Object Inventory'!$D$3:$D$502=A70))</f>
        <v>0</v>
      </c>
      <c r="C70" s="5" t="n">
        <f aca="false">SUMPRODUCT(('Object Inventory'!$A$3:$A$502&lt;&gt;"")*(LEFT('Object Inventory'!$A$3:$A$502,3)&lt;&gt;"EX-")*('Object Inventory'!$D$3:$D$502=A70)*(('Object Inventory'!$O$3:$O$502="Documented")+('Object Inventory'!$O$3:$O$502="Validated")))</f>
        <v>0</v>
      </c>
      <c r="D70" s="14" t="str">
        <f aca="false">IF(B70=0,"",C70/B70)</f>
        <v/>
      </c>
      <c r="E70" s="5" t="n">
        <f aca="false">SUMPRODUCT(('Object Inventory'!$A$3:$A$502&lt;&gt;"")*(LEFT('Object Inventory'!$A$3:$A$502,3)&lt;&gt;"EX-")*('Object Inventory'!$D$3:$D$502=A70)*('Object Inventory'!$I$3:$I$502="")*('Object Inventory'!$J$3:$J$502=""))</f>
        <v>0</v>
      </c>
    </row>
    <row r="71" customFormat="false" ht="15" hidden="false" customHeight="false" outlineLevel="0" collapsed="false">
      <c r="A71" s="5" t="s">
        <v>159</v>
      </c>
      <c r="B71" s="5" t="n">
        <f aca="false">SUMPRODUCT(('Object Inventory'!$A$3:$A$502&lt;&gt;"")*(LEFT('Object Inventory'!$A$3:$A$502,3)&lt;&gt;"EX-")*('Object Inventory'!$D$3:$D$502=A71))</f>
        <v>0</v>
      </c>
      <c r="C71" s="5" t="n">
        <f aca="false">SUMPRODUCT(('Object Inventory'!$A$3:$A$502&lt;&gt;"")*(LEFT('Object Inventory'!$A$3:$A$502,3)&lt;&gt;"EX-")*('Object Inventory'!$D$3:$D$502=A71)*(('Object Inventory'!$O$3:$O$502="Documented")+('Object Inventory'!$O$3:$O$502="Validated")))</f>
        <v>0</v>
      </c>
      <c r="D71" s="14" t="str">
        <f aca="false">IF(B71=0,"",C71/B71)</f>
        <v/>
      </c>
      <c r="E71" s="5" t="n">
        <f aca="false">SUMPRODUCT(('Object Inventory'!$A$3:$A$502&lt;&gt;"")*(LEFT('Object Inventory'!$A$3:$A$502,3)&lt;&gt;"EX-")*('Object Inventory'!$D$3:$D$502=A71)*('Object Inventory'!$I$3:$I$502="")*('Object Inventory'!$J$3:$J$502=""))</f>
        <v>0</v>
      </c>
    </row>
    <row r="72" customFormat="false" ht="15" hidden="false" customHeight="false" outlineLevel="0" collapsed="false">
      <c r="A72" s="5" t="s">
        <v>160</v>
      </c>
      <c r="B72" s="5" t="n">
        <f aca="false">SUMPRODUCT(('Object Inventory'!$A$3:$A$502&lt;&gt;"")*(LEFT('Object Inventory'!$A$3:$A$502,3)&lt;&gt;"EX-")*('Object Inventory'!$D$3:$D$502=A72))</f>
        <v>0</v>
      </c>
      <c r="C72" s="5" t="n">
        <f aca="false">SUMPRODUCT(('Object Inventory'!$A$3:$A$502&lt;&gt;"")*(LEFT('Object Inventory'!$A$3:$A$502,3)&lt;&gt;"EX-")*('Object Inventory'!$D$3:$D$502=A72)*(('Object Inventory'!$O$3:$O$502="Documented")+('Object Inventory'!$O$3:$O$502="Validated")))</f>
        <v>0</v>
      </c>
      <c r="D72" s="14" t="str">
        <f aca="false">IF(B72=0,"",C72/B72)</f>
        <v/>
      </c>
      <c r="E72" s="5" t="n">
        <f aca="false">SUMPRODUCT(('Object Inventory'!$A$3:$A$502&lt;&gt;"")*(LEFT('Object Inventory'!$A$3:$A$502,3)&lt;&gt;"EX-")*('Object Inventory'!$D$3:$D$502=A72)*('Object Inventory'!$I$3:$I$502="")*('Object Inventory'!$J$3:$J$502=""))</f>
        <v>0</v>
      </c>
    </row>
    <row r="73" customFormat="false" ht="15" hidden="false" customHeight="false" outlineLevel="0" collapsed="false">
      <c r="A73" s="5" t="s">
        <v>161</v>
      </c>
      <c r="B73" s="5" t="n">
        <f aca="false">SUMPRODUCT(('Object Inventory'!$A$3:$A$502&lt;&gt;"")*(LEFT('Object Inventory'!$A$3:$A$502,3)&lt;&gt;"EX-")*('Object Inventory'!$D$3:$D$502=A73))</f>
        <v>0</v>
      </c>
      <c r="C73" s="5" t="n">
        <f aca="false">SUMPRODUCT(('Object Inventory'!$A$3:$A$502&lt;&gt;"")*(LEFT('Object Inventory'!$A$3:$A$502,3)&lt;&gt;"EX-")*('Object Inventory'!$D$3:$D$502=A73)*(('Object Inventory'!$O$3:$O$502="Documented")+('Object Inventory'!$O$3:$O$502="Validated")))</f>
        <v>0</v>
      </c>
      <c r="D73" s="14" t="str">
        <f aca="false">IF(B73=0,"",C73/B73)</f>
        <v/>
      </c>
      <c r="E73" s="5" t="n">
        <f aca="false">SUMPRODUCT(('Object Inventory'!$A$3:$A$502&lt;&gt;"")*(LEFT('Object Inventory'!$A$3:$A$502,3)&lt;&gt;"EX-")*('Object Inventory'!$D$3:$D$502=A73)*('Object Inventory'!$I$3:$I$502="")*('Object Inventory'!$J$3:$J$502=""))</f>
        <v>0</v>
      </c>
    </row>
  </sheetData>
  <conditionalFormatting sqref="D10:D23">
    <cfRule type="colorScale" priority="2">
      <colorScale>
        <cfvo type="num" val="0"/>
        <cfvo type="num" val="1"/>
        <color rgb="FFF8CBAD"/>
        <color rgb="FFC6E0B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4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8" t="s">
        <v>162</v>
      </c>
    </row>
    <row r="2" customFormat="false" ht="15" hidden="false" customHeight="false" outlineLevel="0" collapsed="false">
      <c r="A2" s="13" t="s">
        <v>163</v>
      </c>
      <c r="B2" s="13" t="s">
        <v>164</v>
      </c>
      <c r="C2" s="13" t="s">
        <v>165</v>
      </c>
      <c r="D2" s="13" t="s">
        <v>166</v>
      </c>
      <c r="E2" s="13" t="s">
        <v>167</v>
      </c>
      <c r="F2" s="13" t="s">
        <v>168</v>
      </c>
    </row>
    <row r="3" customFormat="false" ht="15" hidden="false" customHeight="false" outlineLevel="0" collapsed="false">
      <c r="A3" s="9" t="s">
        <v>169</v>
      </c>
      <c r="B3" s="10"/>
      <c r="C3" s="10"/>
      <c r="D3" s="10"/>
      <c r="E3" s="10"/>
      <c r="F3" s="10"/>
    </row>
    <row r="4" customFormat="false" ht="15" hidden="false" customHeight="false" outlineLevel="0" collapsed="false">
      <c r="A4" s="2" t="s">
        <v>170</v>
      </c>
      <c r="B4" s="18"/>
      <c r="C4" s="18"/>
      <c r="D4" s="5" t="s">
        <v>171</v>
      </c>
      <c r="E4" s="19"/>
      <c r="F4" s="18"/>
    </row>
    <row r="5" customFormat="false" ht="15" hidden="false" customHeight="false" outlineLevel="0" collapsed="false">
      <c r="A5" s="2" t="s">
        <v>172</v>
      </c>
      <c r="B5" s="18"/>
      <c r="C5" s="18"/>
      <c r="D5" s="5" t="s">
        <v>171</v>
      </c>
      <c r="E5" s="19"/>
      <c r="F5" s="18"/>
    </row>
    <row r="6" customFormat="false" ht="15" hidden="false" customHeight="false" outlineLevel="0" collapsed="false">
      <c r="A6" s="2" t="s">
        <v>173</v>
      </c>
      <c r="B6" s="18"/>
      <c r="C6" s="18"/>
      <c r="D6" s="5" t="s">
        <v>171</v>
      </c>
      <c r="E6" s="19"/>
      <c r="F6" s="18"/>
    </row>
    <row r="7" customFormat="false" ht="23.85" hidden="false" customHeight="false" outlineLevel="0" collapsed="false">
      <c r="A7" s="2" t="s">
        <v>174</v>
      </c>
      <c r="B7" s="18"/>
      <c r="C7" s="18"/>
      <c r="D7" s="5" t="s">
        <v>171</v>
      </c>
      <c r="E7" s="19"/>
      <c r="F7" s="18"/>
    </row>
    <row r="8" customFormat="false" ht="15" hidden="false" customHeight="false" outlineLevel="0" collapsed="false">
      <c r="A8" s="2" t="s">
        <v>175</v>
      </c>
      <c r="B8" s="18"/>
      <c r="C8" s="18"/>
      <c r="D8" s="5" t="s">
        <v>171</v>
      </c>
      <c r="E8" s="19"/>
      <c r="F8" s="18"/>
    </row>
    <row r="9" customFormat="false" ht="15" hidden="false" customHeight="false" outlineLevel="0" collapsed="false">
      <c r="A9" s="2" t="s">
        <v>176</v>
      </c>
      <c r="B9" s="18"/>
      <c r="C9" s="18"/>
      <c r="D9" s="5" t="s">
        <v>171</v>
      </c>
      <c r="E9" s="19"/>
      <c r="F9" s="18"/>
    </row>
    <row r="10" customFormat="false" ht="15" hidden="false" customHeight="false" outlineLevel="0" collapsed="false">
      <c r="A10" s="2" t="s">
        <v>177</v>
      </c>
      <c r="B10" s="18"/>
      <c r="C10" s="18"/>
      <c r="D10" s="5" t="s">
        <v>171</v>
      </c>
      <c r="E10" s="19"/>
      <c r="F10" s="18"/>
    </row>
    <row r="11" customFormat="false" ht="15" hidden="false" customHeight="false" outlineLevel="0" collapsed="false">
      <c r="A11" s="2" t="s">
        <v>178</v>
      </c>
      <c r="B11" s="18"/>
      <c r="C11" s="18"/>
      <c r="D11" s="5" t="s">
        <v>171</v>
      </c>
      <c r="E11" s="19"/>
      <c r="F11" s="18"/>
    </row>
    <row r="12" customFormat="false" ht="15" hidden="false" customHeight="false" outlineLevel="0" collapsed="false">
      <c r="A12" s="9" t="s">
        <v>179</v>
      </c>
      <c r="B12" s="10"/>
      <c r="C12" s="10"/>
      <c r="D12" s="10"/>
      <c r="E12" s="10"/>
      <c r="F12" s="10"/>
    </row>
    <row r="13" customFormat="false" ht="15" hidden="false" customHeight="false" outlineLevel="0" collapsed="false">
      <c r="A13" s="2" t="s">
        <v>180</v>
      </c>
      <c r="B13" s="18"/>
      <c r="C13" s="18"/>
      <c r="D13" s="5" t="s">
        <v>171</v>
      </c>
      <c r="E13" s="19"/>
      <c r="F13" s="18"/>
    </row>
    <row r="14" customFormat="false" ht="15" hidden="false" customHeight="false" outlineLevel="0" collapsed="false">
      <c r="A14" s="2" t="s">
        <v>181</v>
      </c>
      <c r="B14" s="18"/>
      <c r="C14" s="18"/>
      <c r="D14" s="5" t="s">
        <v>171</v>
      </c>
      <c r="E14" s="19"/>
      <c r="F14" s="18"/>
    </row>
    <row r="15" customFormat="false" ht="15" hidden="false" customHeight="false" outlineLevel="0" collapsed="false">
      <c r="A15" s="2" t="s">
        <v>182</v>
      </c>
      <c r="B15" s="18"/>
      <c r="C15" s="18"/>
      <c r="D15" s="5" t="s">
        <v>171</v>
      </c>
      <c r="E15" s="19"/>
      <c r="F15" s="18"/>
    </row>
    <row r="16" customFormat="false" ht="15" hidden="false" customHeight="false" outlineLevel="0" collapsed="false">
      <c r="A16" s="2" t="s">
        <v>183</v>
      </c>
      <c r="B16" s="18"/>
      <c r="C16" s="18"/>
      <c r="D16" s="5" t="s">
        <v>171</v>
      </c>
      <c r="E16" s="19"/>
      <c r="F16" s="18"/>
    </row>
    <row r="17" customFormat="false" ht="15" hidden="false" customHeight="false" outlineLevel="0" collapsed="false">
      <c r="A17" s="2" t="s">
        <v>184</v>
      </c>
      <c r="B17" s="18"/>
      <c r="C17" s="18"/>
      <c r="D17" s="5" t="s">
        <v>171</v>
      </c>
      <c r="E17" s="19"/>
      <c r="F17" s="18"/>
    </row>
    <row r="18" customFormat="false" ht="15" hidden="false" customHeight="false" outlineLevel="0" collapsed="false">
      <c r="A18" s="2" t="s">
        <v>185</v>
      </c>
      <c r="B18" s="18"/>
      <c r="C18" s="18"/>
      <c r="D18" s="5" t="s">
        <v>171</v>
      </c>
      <c r="E18" s="19"/>
      <c r="F18" s="18"/>
    </row>
    <row r="19" customFormat="false" ht="15" hidden="false" customHeight="false" outlineLevel="0" collapsed="false">
      <c r="A19" s="2" t="s">
        <v>186</v>
      </c>
      <c r="B19" s="18"/>
      <c r="C19" s="18"/>
      <c r="D19" s="5" t="s">
        <v>171</v>
      </c>
      <c r="E19" s="19"/>
      <c r="F19" s="18"/>
    </row>
    <row r="20" customFormat="false" ht="15" hidden="false" customHeight="false" outlineLevel="0" collapsed="false">
      <c r="A20" s="2" t="s">
        <v>187</v>
      </c>
      <c r="B20" s="18"/>
      <c r="C20" s="18"/>
      <c r="D20" s="5" t="s">
        <v>171</v>
      </c>
      <c r="E20" s="19"/>
      <c r="F20" s="18"/>
    </row>
    <row r="21" customFormat="false" ht="15" hidden="false" customHeight="false" outlineLevel="0" collapsed="false">
      <c r="A21" s="9" t="s">
        <v>188</v>
      </c>
      <c r="B21" s="10"/>
      <c r="C21" s="10"/>
      <c r="D21" s="10"/>
      <c r="E21" s="10"/>
      <c r="F21" s="10"/>
    </row>
    <row r="22" customFormat="false" ht="15" hidden="false" customHeight="false" outlineLevel="0" collapsed="false">
      <c r="A22" s="2" t="s">
        <v>189</v>
      </c>
      <c r="B22" s="18"/>
      <c r="C22" s="18"/>
      <c r="D22" s="5" t="s">
        <v>171</v>
      </c>
      <c r="E22" s="19"/>
      <c r="F22" s="18"/>
    </row>
    <row r="23" customFormat="false" ht="15" hidden="false" customHeight="false" outlineLevel="0" collapsed="false">
      <c r="A23" s="2" t="s">
        <v>190</v>
      </c>
      <c r="B23" s="18"/>
      <c r="C23" s="18"/>
      <c r="D23" s="5" t="s">
        <v>171</v>
      </c>
      <c r="E23" s="19"/>
      <c r="F23" s="18"/>
    </row>
    <row r="24" customFormat="false" ht="23.85" hidden="false" customHeight="false" outlineLevel="0" collapsed="false">
      <c r="A24" s="2" t="s">
        <v>191</v>
      </c>
      <c r="B24" s="18"/>
      <c r="C24" s="18"/>
      <c r="D24" s="5" t="s">
        <v>171</v>
      </c>
      <c r="E24" s="19"/>
      <c r="F24" s="18"/>
    </row>
    <row r="25" customFormat="false" ht="15" hidden="false" customHeight="false" outlineLevel="0" collapsed="false">
      <c r="A25" s="2" t="s">
        <v>192</v>
      </c>
      <c r="B25" s="18"/>
      <c r="C25" s="18"/>
      <c r="D25" s="5" t="s">
        <v>171</v>
      </c>
      <c r="E25" s="19"/>
      <c r="F25" s="18"/>
    </row>
    <row r="26" customFormat="false" ht="15" hidden="false" customHeight="false" outlineLevel="0" collapsed="false">
      <c r="A26" s="2" t="s">
        <v>193</v>
      </c>
      <c r="B26" s="18"/>
      <c r="C26" s="18"/>
      <c r="D26" s="5" t="s">
        <v>171</v>
      </c>
      <c r="E26" s="19"/>
      <c r="F26" s="18"/>
    </row>
    <row r="27" customFormat="false" ht="15" hidden="false" customHeight="false" outlineLevel="0" collapsed="false">
      <c r="A27" s="2" t="s">
        <v>194</v>
      </c>
      <c r="B27" s="18"/>
      <c r="C27" s="18"/>
      <c r="D27" s="5" t="s">
        <v>171</v>
      </c>
      <c r="E27" s="19"/>
      <c r="F27" s="18"/>
    </row>
    <row r="28" customFormat="false" ht="23.85" hidden="false" customHeight="false" outlineLevel="0" collapsed="false">
      <c r="A28" s="2" t="s">
        <v>195</v>
      </c>
      <c r="B28" s="18"/>
      <c r="C28" s="18"/>
      <c r="D28" s="5" t="s">
        <v>171</v>
      </c>
      <c r="E28" s="19"/>
      <c r="F28" s="18"/>
    </row>
    <row r="29" customFormat="false" ht="15" hidden="false" customHeight="false" outlineLevel="0" collapsed="false">
      <c r="A29" s="9" t="s">
        <v>196</v>
      </c>
      <c r="B29" s="10"/>
      <c r="C29" s="10"/>
      <c r="D29" s="10"/>
      <c r="E29" s="10"/>
      <c r="F29" s="10"/>
    </row>
    <row r="30" customFormat="false" ht="15" hidden="false" customHeight="false" outlineLevel="0" collapsed="false">
      <c r="A30" s="2" t="s">
        <v>197</v>
      </c>
      <c r="B30" s="18"/>
      <c r="C30" s="18"/>
      <c r="D30" s="5" t="s">
        <v>171</v>
      </c>
      <c r="E30" s="19"/>
      <c r="F30" s="18"/>
    </row>
    <row r="31" customFormat="false" ht="15" hidden="false" customHeight="false" outlineLevel="0" collapsed="false">
      <c r="A31" s="2" t="s">
        <v>198</v>
      </c>
      <c r="B31" s="18"/>
      <c r="C31" s="18"/>
      <c r="D31" s="5" t="s">
        <v>171</v>
      </c>
      <c r="E31" s="19"/>
      <c r="F31" s="18"/>
    </row>
    <row r="32" customFormat="false" ht="15" hidden="false" customHeight="false" outlineLevel="0" collapsed="false">
      <c r="A32" s="2" t="s">
        <v>199</v>
      </c>
      <c r="B32" s="18"/>
      <c r="C32" s="18"/>
      <c r="D32" s="5" t="s">
        <v>171</v>
      </c>
      <c r="E32" s="19"/>
      <c r="F32" s="18"/>
    </row>
    <row r="33" customFormat="false" ht="15" hidden="false" customHeight="false" outlineLevel="0" collapsed="false">
      <c r="A33" s="2" t="s">
        <v>200</v>
      </c>
      <c r="B33" s="18"/>
      <c r="C33" s="18"/>
      <c r="D33" s="5" t="s">
        <v>171</v>
      </c>
      <c r="E33" s="19"/>
      <c r="F33" s="18"/>
    </row>
    <row r="34" customFormat="false" ht="15" hidden="false" customHeight="false" outlineLevel="0" collapsed="false">
      <c r="A34" s="2" t="s">
        <v>201</v>
      </c>
      <c r="B34" s="18"/>
      <c r="C34" s="18"/>
      <c r="D34" s="5" t="s">
        <v>171</v>
      </c>
      <c r="E34" s="19"/>
      <c r="F34" s="18"/>
    </row>
    <row r="35" customFormat="false" ht="23.85" hidden="false" customHeight="false" outlineLevel="0" collapsed="false">
      <c r="A35" s="2" t="s">
        <v>202</v>
      </c>
      <c r="B35" s="18"/>
      <c r="C35" s="18"/>
      <c r="D35" s="5" t="s">
        <v>171</v>
      </c>
      <c r="E35" s="19"/>
      <c r="F35" s="18"/>
    </row>
    <row r="37" customFormat="false" ht="15" hidden="false" customHeight="false" outlineLevel="0" collapsed="false">
      <c r="A37" s="9" t="s">
        <v>203</v>
      </c>
      <c r="B37" s="10"/>
      <c r="C37" s="10"/>
      <c r="D37" s="10"/>
      <c r="E37" s="10"/>
      <c r="F37" s="10"/>
    </row>
    <row r="38" customFormat="false" ht="23.85" hidden="false" customHeight="false" outlineLevel="0" collapsed="false">
      <c r="A38" s="13" t="s">
        <v>204</v>
      </c>
      <c r="B38" s="13" t="s">
        <v>205</v>
      </c>
      <c r="C38" s="13" t="s">
        <v>206</v>
      </c>
      <c r="D38" s="13" t="s">
        <v>207</v>
      </c>
    </row>
    <row r="39" customFormat="false" ht="15" hidden="false" customHeight="false" outlineLevel="0" collapsed="false">
      <c r="A39" s="5" t="s">
        <v>107</v>
      </c>
      <c r="B39" s="5" t="s">
        <v>107</v>
      </c>
      <c r="C39" s="5" t="n">
        <f aca="false">SUMPRODUCT((Applications!$A$3:$A$502&lt;&gt;"")*(LEFT(Applications!$A$3:$A$502,3)&lt;&gt;"EX-"))</f>
        <v>0</v>
      </c>
      <c r="D39" s="5" t="n">
        <f aca="false">SUMPRODUCT((Applications!$A$3:$A$502&lt;&gt;"")*(LEFT(Applications!$A$3:$A$502,3)&lt;&gt;"EX-")*((Applications!$O$3:$O$502="Documented")+(Applications!$O$3:$O$502="Validated")))</f>
        <v>0</v>
      </c>
    </row>
    <row r="40" customFormat="false" ht="15" hidden="false" customHeight="false" outlineLevel="0" collapsed="false">
      <c r="A40" s="5" t="s">
        <v>208</v>
      </c>
      <c r="B40" s="5" t="s">
        <v>101</v>
      </c>
      <c r="C40" s="5" t="n">
        <f aca="false">SUMPRODUCT((Tables!$A$3:$A$502&lt;&gt;"")*(LEFT(Tables!$A$3:$A$502,3)&lt;&gt;"EX-"))</f>
        <v>0</v>
      </c>
      <c r="D40" s="5" t="n">
        <f aca="false">SUMPRODUCT((Tables!$A$3:$A$502&lt;&gt;"")*(LEFT(Tables!$A$3:$A$502,3)&lt;&gt;"EX-")*((Tables!$AY$3:$AY$502="Documented")+(Tables!$AY$3:$AY$502="Validated")))</f>
        <v>0</v>
      </c>
    </row>
    <row r="41" customFormat="false" ht="15" hidden="false" customHeight="false" outlineLevel="0" collapsed="false">
      <c r="A41" s="5" t="s">
        <v>209</v>
      </c>
      <c r="B41" s="5" t="s">
        <v>210</v>
      </c>
      <c r="C41" s="5" t="n">
        <f aca="false">SUMPRODUCT(('Catalog Items'!$A$3:$A$502&lt;&gt;"")*(LEFT('Catalog Items'!$A$3:$A$502,3)&lt;&gt;"EX-"))</f>
        <v>0</v>
      </c>
      <c r="D41" s="5" t="n">
        <f aca="false">SUMPRODUCT(('Catalog Items'!$A$3:$A$502&lt;&gt;"")*(LEFT('Catalog Items'!$A$3:$A$502,3)&lt;&gt;"EX-")*(('Catalog Items'!$AB$3:$AB$502="Documented")+('Catalog Items'!$AB$3:$AB$502="Validated")))</f>
        <v>0</v>
      </c>
    </row>
    <row r="42" customFormat="false" ht="15" hidden="false" customHeight="false" outlineLevel="0" collapsed="false">
      <c r="A42" s="5" t="s">
        <v>211</v>
      </c>
      <c r="B42" s="5" t="s">
        <v>212</v>
      </c>
      <c r="C42" s="5" t="n">
        <f aca="false">SUMPRODUCT((Flows!$A$3:$A$502&lt;&gt;"")*(LEFT(Flows!$A$3:$A$502,3)&lt;&gt;"EX-"))</f>
        <v>0</v>
      </c>
      <c r="D42" s="5" t="n">
        <f aca="false">SUMPRODUCT((Flows!$A$3:$A$502&lt;&gt;"")*(LEFT(Flows!$A$3:$A$502,3)&lt;&gt;"EX-")*((Flows!$AI$3:$AI$502="Documented")+(Flows!$AI$3:$AI$502="Validated")))</f>
        <v>0</v>
      </c>
    </row>
    <row r="43" customFormat="false" ht="15" hidden="false" customHeight="false" outlineLevel="0" collapsed="false">
      <c r="A43" s="5" t="s">
        <v>213</v>
      </c>
      <c r="B43" s="5" t="s">
        <v>213</v>
      </c>
      <c r="C43" s="5" t="n">
        <f aca="false">SUMPRODUCT(('Scripts &amp; Rules'!$A$3:$A$502&lt;&gt;"")*(LEFT('Scripts &amp; Rules'!$A$3:$A$502,3)&lt;&gt;"EX-"))</f>
        <v>0</v>
      </c>
      <c r="D43" s="5" t="n">
        <f aca="false">SUMPRODUCT(('Scripts &amp; Rules'!$A$3:$A$502&lt;&gt;"")*(LEFT('Scripts &amp; Rules'!$A$3:$A$502,3)&lt;&gt;"EX-")*(('Scripts &amp; Rules'!$AA$3:$AA$502="Documented")+('Scripts &amp; Rules'!$AA$3:$AA$502="Validated")))</f>
        <v>0</v>
      </c>
    </row>
    <row r="44" customFormat="false" ht="15" hidden="false" customHeight="false" outlineLevel="0" collapsed="false">
      <c r="A44" s="5" t="s">
        <v>52</v>
      </c>
      <c r="B44" s="5" t="s">
        <v>52</v>
      </c>
      <c r="C44" s="5" t="n">
        <f aca="false">SUMPRODUCT((Integrations!$A$3:$A$502&lt;&gt;"")*(LEFT(Integrations!$A$3:$A$502,3)&lt;&gt;"EX-"))</f>
        <v>0</v>
      </c>
      <c r="D44" s="5" t="n">
        <f aca="false">SUMPRODUCT((Integrations!$A$3:$A$502&lt;&gt;"")*(LEFT(Integrations!$A$3:$A$502,3)&lt;&gt;"EX-")*((Integrations!$AD$3:$AD$502="Documented")+(Integrations!$AD$3:$AD$502="Validated")))</f>
        <v>0</v>
      </c>
    </row>
    <row r="45" customFormat="false" ht="15" hidden="false" customHeight="false" outlineLevel="0" collapsed="false">
      <c r="A45" s="5" t="s">
        <v>54</v>
      </c>
      <c r="B45" s="5" t="s">
        <v>54</v>
      </c>
      <c r="C45" s="5" t="n">
        <f aca="false">SUMPRODUCT((Security!$A$3:$A$502&lt;&gt;"")*(LEFT(Security!$A$3:$A$502,3)&lt;&gt;"EX-"))</f>
        <v>0</v>
      </c>
      <c r="D45" s="5" t="n">
        <f aca="false">SUMPRODUCT((Security!$A$3:$A$502&lt;&gt;"")*(LEFT(Security!$A$3:$A$502,3)&lt;&gt;"EX-")*((Security!$W$3:$W$502="Documented")+(Security!$W$3:$W$502="Validated")))</f>
        <v>0</v>
      </c>
    </row>
    <row r="46" customFormat="false" ht="15" hidden="false" customHeight="false" outlineLevel="0" collapsed="false">
      <c r="A46" s="5" t="s">
        <v>56</v>
      </c>
      <c r="B46" s="5" t="s">
        <v>56</v>
      </c>
      <c r="C46" s="5" t="n">
        <f aca="false">SUMPRODUCT(('Business Processes'!$A$3:$A$502&lt;&gt;"")*(LEFT('Business Processes'!$A$3:$A$502,3)&lt;&gt;"EX-"))</f>
        <v>0</v>
      </c>
      <c r="D46" s="5" t="n">
        <f aca="false">SUMPRODUCT(('Business Processes'!$A$3:$A$502&lt;&gt;"")*(LEFT('Business Processes'!$A$3:$A$502,3)&lt;&gt;"EX-")*(('Business Processes'!$AC$3:$AC$502="Documented")+('Business Processes'!$AC$3:$AC$502="Validated")))</f>
        <v>0</v>
      </c>
    </row>
    <row r="47" customFormat="false" ht="15" hidden="false" customHeight="false" outlineLevel="0" collapsed="false">
      <c r="A47" s="5" t="s">
        <v>214</v>
      </c>
      <c r="B47" s="5" t="s">
        <v>215</v>
      </c>
      <c r="C47" s="5" t="n">
        <f aca="false">SUMPRODUCT(('Object Inventory'!$A$3:$A$502&lt;&gt;"")*(LEFT('Object Inventory'!$A$3:$A$502,3)&lt;&gt;"EX-")*((('Object Inventory'!$D$3:$D$502="Report")+('Object Inventory'!$D$3:$D$502="Dashboard")+('Object Inventory'!$D$3:$D$502="Widget")+('Object Inventory'!$D$3:$D$502="Portal"))&gt;0))</f>
        <v>0</v>
      </c>
      <c r="D47" s="5" t="n">
        <f aca="false">SUMPRODUCT(('Object Inventory'!$A$3:$A$502&lt;&gt;"")*(LEFT('Object Inventory'!$A$3:$A$502,3)&lt;&gt;"EX-")*((('Object Inventory'!$D$3:$D$502="Report")+('Object Inventory'!$D$3:$D$502="Dashboard")+('Object Inventory'!$D$3:$D$502="Widget")+('Object Inventory'!$D$3:$D$502="Portal"))&gt;0)*(('Object Inventory'!$O$3:$O$502="Documented")+('Object Inventory'!$O$3:$O$502="Validated")))</f>
        <v>0</v>
      </c>
    </row>
  </sheetData>
  <conditionalFormatting sqref="D3:D36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  <cfRule type="cellIs" priority="5" operator="equal" aboveAverage="0" equalAverage="0" bottom="0" percent="0" rank="0" text="" dxfId="3">
      <formula>"Unknown"</formula>
    </cfRule>
  </conditionalFormatting>
  <dataValidations count="1">
    <dataValidation allowBlank="true" errorStyle="stop" operator="between" showDropDown="false" showErrorMessage="false" showInputMessage="false" sqref="D3:D36" type="list">
      <formula1>'Reference Lists'!$G$2:$G$5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X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2"/>
    <col collapsed="false" customWidth="true" hidden="false" outlineLevel="0" max="2" min="2" style="2" width="30"/>
    <col collapsed="false" customWidth="true" hidden="false" outlineLevel="0" max="3" min="3" style="2" width="26"/>
    <col collapsed="false" customWidth="true" hidden="false" outlineLevel="0" max="4" min="4" style="2" width="18"/>
    <col collapsed="false" customWidth="true" hidden="false" outlineLevel="0" max="5" min="5" style="2" width="20"/>
    <col collapsed="false" customWidth="true" hidden="false" outlineLevel="0" max="6" min="6" style="2" width="18"/>
    <col collapsed="false" customWidth="true" hidden="false" outlineLevel="0" max="7" min="7" style="2" width="34"/>
    <col collapsed="false" customWidth="true" hidden="false" outlineLevel="0" max="8" min="8" style="2" width="22"/>
    <col collapsed="false" customWidth="true" hidden="false" outlineLevel="0" max="10" min="9" style="2" width="16"/>
    <col collapsed="false" customWidth="true" hidden="false" outlineLevel="0" max="12" min="11" style="2" width="12"/>
    <col collapsed="false" customWidth="true" hidden="false" outlineLevel="0" max="13" min="13" style="2" width="15"/>
    <col collapsed="false" customWidth="true" hidden="false" outlineLevel="0" max="14" min="14" style="2" width="12"/>
    <col collapsed="false" customWidth="true" hidden="false" outlineLevel="0" max="15" min="15" style="2" width="17"/>
    <col collapsed="false" customWidth="true" hidden="false" outlineLevel="0" max="16" min="16" style="2" width="12"/>
    <col collapsed="false" customWidth="true" hidden="false" outlineLevel="0" max="19" min="17" style="2" width="28"/>
    <col collapsed="false" customWidth="true" hidden="false" outlineLevel="0" max="20" min="20" style="20" width="13"/>
    <col collapsed="false" customWidth="true" hidden="false" outlineLevel="0" max="21" min="21" style="2" width="18"/>
    <col collapsed="false" customWidth="true" hidden="false" outlineLevel="0" max="22" min="22" style="2" width="26"/>
    <col collapsed="false" customWidth="true" hidden="false" outlineLevel="0" max="23" min="23" style="2" width="22"/>
    <col collapsed="false" customWidth="true" hidden="false" outlineLevel="0" max="24" min="24" style="2" width="36"/>
  </cols>
  <sheetData>
    <row r="1" customFormat="false" ht="15" hidden="false" customHeight="false" outlineLevel="0" collapsed="false">
      <c r="A1" s="8" t="s">
        <v>216</v>
      </c>
    </row>
    <row r="2" customFormat="false" ht="42" hidden="false" customHeight="true" outlineLevel="0" collapsed="false">
      <c r="A2" s="13" t="s">
        <v>217</v>
      </c>
      <c r="B2" s="13" t="s">
        <v>218</v>
      </c>
      <c r="C2" s="13" t="s">
        <v>219</v>
      </c>
      <c r="D2" s="13" t="s">
        <v>130</v>
      </c>
      <c r="E2" s="13" t="s">
        <v>134</v>
      </c>
      <c r="F2" s="13" t="s">
        <v>220</v>
      </c>
      <c r="G2" s="13" t="s">
        <v>1</v>
      </c>
      <c r="H2" s="13" t="s">
        <v>221</v>
      </c>
      <c r="I2" s="13" t="s">
        <v>222</v>
      </c>
      <c r="J2" s="13" t="s">
        <v>223</v>
      </c>
      <c r="K2" s="13" t="s">
        <v>224</v>
      </c>
      <c r="L2" s="13" t="s">
        <v>225</v>
      </c>
      <c r="M2" s="13" t="s">
        <v>226</v>
      </c>
      <c r="N2" s="13" t="s">
        <v>227</v>
      </c>
      <c r="O2" s="13" t="s">
        <v>228</v>
      </c>
      <c r="P2" s="13" t="s">
        <v>166</v>
      </c>
      <c r="Q2" s="13" t="s">
        <v>229</v>
      </c>
      <c r="R2" s="13" t="s">
        <v>230</v>
      </c>
      <c r="S2" s="13" t="s">
        <v>231</v>
      </c>
      <c r="T2" s="13" t="s">
        <v>232</v>
      </c>
      <c r="U2" s="13" t="s">
        <v>233</v>
      </c>
      <c r="V2" s="13" t="s">
        <v>234</v>
      </c>
      <c r="W2" s="13" t="s">
        <v>235</v>
      </c>
      <c r="X2" s="13" t="s">
        <v>236</v>
      </c>
    </row>
    <row r="3" customFormat="false" ht="35.05" hidden="false" customHeight="false" outlineLevel="0" collapsed="false">
      <c r="A3" s="21" t="s">
        <v>237</v>
      </c>
      <c r="B3" s="21" t="s">
        <v>238</v>
      </c>
      <c r="C3" s="21" t="s">
        <v>239</v>
      </c>
      <c r="D3" s="21" t="s">
        <v>132</v>
      </c>
      <c r="E3" s="21" t="s">
        <v>240</v>
      </c>
      <c r="F3" s="21" t="s">
        <v>241</v>
      </c>
      <c r="G3" s="21" t="s">
        <v>242</v>
      </c>
      <c r="H3" s="21" t="s">
        <v>243</v>
      </c>
      <c r="I3" s="21"/>
      <c r="J3" s="21"/>
      <c r="K3" s="21" t="s">
        <v>244</v>
      </c>
      <c r="L3" s="21" t="s">
        <v>245</v>
      </c>
      <c r="M3" s="21" t="s">
        <v>246</v>
      </c>
      <c r="N3" s="21" t="s">
        <v>247</v>
      </c>
      <c r="O3" s="21" t="s">
        <v>98</v>
      </c>
      <c r="P3" s="21" t="s">
        <v>248</v>
      </c>
      <c r="Q3" s="21" t="s">
        <v>249</v>
      </c>
      <c r="R3" s="21" t="s">
        <v>250</v>
      </c>
      <c r="S3" s="21"/>
      <c r="T3" s="21"/>
      <c r="U3" s="21" t="s">
        <v>251</v>
      </c>
      <c r="V3" s="21"/>
      <c r="W3" s="21" t="s">
        <v>101</v>
      </c>
      <c r="X3" s="21" t="s">
        <v>252</v>
      </c>
    </row>
    <row r="4" customFormat="false" ht="35.05" hidden="false" customHeight="false" outlineLevel="0" collapsed="false">
      <c r="A4" s="21" t="s">
        <v>253</v>
      </c>
      <c r="B4" s="21" t="s">
        <v>254</v>
      </c>
      <c r="C4" s="21" t="s">
        <v>255</v>
      </c>
      <c r="D4" s="21" t="s">
        <v>147</v>
      </c>
      <c r="E4" s="21" t="s">
        <v>240</v>
      </c>
      <c r="F4" s="21" t="s">
        <v>241</v>
      </c>
      <c r="G4" s="21" t="s">
        <v>256</v>
      </c>
      <c r="H4" s="21" t="s">
        <v>243</v>
      </c>
      <c r="I4" s="21"/>
      <c r="J4" s="21"/>
      <c r="K4" s="21" t="s">
        <v>244</v>
      </c>
      <c r="L4" s="21" t="s">
        <v>245</v>
      </c>
      <c r="M4" s="21" t="s">
        <v>246</v>
      </c>
      <c r="N4" s="21" t="s">
        <v>248</v>
      </c>
      <c r="O4" s="21" t="s">
        <v>98</v>
      </c>
      <c r="P4" s="21" t="s">
        <v>248</v>
      </c>
      <c r="Q4" s="21" t="s">
        <v>257</v>
      </c>
      <c r="R4" s="21" t="s">
        <v>258</v>
      </c>
      <c r="S4" s="21"/>
      <c r="T4" s="21"/>
      <c r="U4" s="21" t="s">
        <v>259</v>
      </c>
      <c r="V4" s="21"/>
      <c r="W4" s="21" t="s">
        <v>210</v>
      </c>
      <c r="X4" s="21" t="s">
        <v>252</v>
      </c>
    </row>
    <row r="5" customFormat="false" ht="35.05" hidden="false" customHeight="false" outlineLevel="0" collapsed="false">
      <c r="A5" s="21" t="s">
        <v>260</v>
      </c>
      <c r="B5" s="21" t="s">
        <v>257</v>
      </c>
      <c r="C5" s="21" t="s">
        <v>261</v>
      </c>
      <c r="D5" s="21" t="s">
        <v>136</v>
      </c>
      <c r="E5" s="21" t="s">
        <v>240</v>
      </c>
      <c r="F5" s="21" t="s">
        <v>241</v>
      </c>
      <c r="G5" s="21" t="s">
        <v>262</v>
      </c>
      <c r="H5" s="21" t="s">
        <v>243</v>
      </c>
      <c r="I5" s="21"/>
      <c r="J5" s="21"/>
      <c r="K5" s="21" t="s">
        <v>244</v>
      </c>
      <c r="L5" s="21" t="s">
        <v>245</v>
      </c>
      <c r="M5" s="21" t="s">
        <v>246</v>
      </c>
      <c r="N5" s="21" t="s">
        <v>247</v>
      </c>
      <c r="O5" s="21" t="s">
        <v>263</v>
      </c>
      <c r="P5" s="21" t="s">
        <v>264</v>
      </c>
      <c r="Q5" s="21" t="s">
        <v>265</v>
      </c>
      <c r="R5" s="21" t="s">
        <v>254</v>
      </c>
      <c r="S5" s="21"/>
      <c r="T5" s="21"/>
      <c r="U5" s="21" t="s">
        <v>266</v>
      </c>
      <c r="V5" s="21"/>
      <c r="W5" s="21" t="s">
        <v>212</v>
      </c>
      <c r="X5" s="21" t="s">
        <v>252</v>
      </c>
    </row>
    <row r="6" customFormat="false" ht="35.05" hidden="false" customHeight="false" outlineLevel="0" collapsed="false">
      <c r="A6" s="21" t="s">
        <v>267</v>
      </c>
      <c r="B6" s="21" t="s">
        <v>268</v>
      </c>
      <c r="C6" s="21" t="s">
        <v>269</v>
      </c>
      <c r="D6" s="21" t="s">
        <v>139</v>
      </c>
      <c r="E6" s="21" t="s">
        <v>240</v>
      </c>
      <c r="F6" s="21" t="s">
        <v>241</v>
      </c>
      <c r="G6" s="21" t="s">
        <v>270</v>
      </c>
      <c r="H6" s="21" t="s">
        <v>243</v>
      </c>
      <c r="I6" s="21"/>
      <c r="J6" s="21"/>
      <c r="K6" s="21" t="s">
        <v>244</v>
      </c>
      <c r="L6" s="21" t="s">
        <v>245</v>
      </c>
      <c r="M6" s="21" t="s">
        <v>246</v>
      </c>
      <c r="N6" s="21" t="s">
        <v>264</v>
      </c>
      <c r="O6" s="21" t="s">
        <v>97</v>
      </c>
      <c r="P6" s="21" t="s">
        <v>271</v>
      </c>
      <c r="Q6" s="21" t="s">
        <v>272</v>
      </c>
      <c r="R6" s="21" t="s">
        <v>273</v>
      </c>
      <c r="S6" s="21"/>
      <c r="T6" s="21"/>
      <c r="U6" s="21" t="s">
        <v>266</v>
      </c>
      <c r="V6" s="21"/>
      <c r="W6" s="21" t="s">
        <v>213</v>
      </c>
      <c r="X6" s="21" t="s">
        <v>252</v>
      </c>
    </row>
    <row r="7" customFormat="false" ht="35.05" hidden="false" customHeight="false" outlineLevel="0" collapsed="false">
      <c r="A7" s="21" t="s">
        <v>274</v>
      </c>
      <c r="B7" s="21" t="s">
        <v>275</v>
      </c>
      <c r="C7" s="21" t="s">
        <v>276</v>
      </c>
      <c r="D7" s="21" t="s">
        <v>153</v>
      </c>
      <c r="E7" s="21" t="s">
        <v>277</v>
      </c>
      <c r="F7" s="21" t="s">
        <v>278</v>
      </c>
      <c r="G7" s="21" t="s">
        <v>279</v>
      </c>
      <c r="H7" s="21" t="s">
        <v>243</v>
      </c>
      <c r="I7" s="21"/>
      <c r="J7" s="21"/>
      <c r="K7" s="21" t="s">
        <v>244</v>
      </c>
      <c r="L7" s="21" t="s">
        <v>245</v>
      </c>
      <c r="M7" s="21" t="s">
        <v>246</v>
      </c>
      <c r="N7" s="21" t="s">
        <v>248</v>
      </c>
      <c r="O7" s="21" t="s">
        <v>263</v>
      </c>
      <c r="P7" s="21" t="s">
        <v>271</v>
      </c>
      <c r="Q7" s="21" t="s">
        <v>280</v>
      </c>
      <c r="R7" s="21" t="s">
        <v>257</v>
      </c>
      <c r="S7" s="21"/>
      <c r="T7" s="21"/>
      <c r="U7" s="21" t="s">
        <v>266</v>
      </c>
      <c r="V7" s="21"/>
      <c r="W7" s="21" t="s">
        <v>52</v>
      </c>
      <c r="X7" s="21" t="s">
        <v>252</v>
      </c>
    </row>
    <row r="8" customFormat="false" ht="35.05" hidden="false" customHeight="false" outlineLevel="0" collapsed="false">
      <c r="A8" s="21" t="s">
        <v>281</v>
      </c>
      <c r="B8" s="21" t="s">
        <v>282</v>
      </c>
      <c r="C8" s="21" t="s">
        <v>283</v>
      </c>
      <c r="D8" s="21" t="s">
        <v>145</v>
      </c>
      <c r="E8" s="21" t="s">
        <v>240</v>
      </c>
      <c r="F8" s="21" t="s">
        <v>241</v>
      </c>
      <c r="G8" s="21" t="s">
        <v>284</v>
      </c>
      <c r="H8" s="21"/>
      <c r="I8" s="21"/>
      <c r="J8" s="21"/>
      <c r="K8" s="21" t="s">
        <v>244</v>
      </c>
      <c r="L8" s="21" t="s">
        <v>245</v>
      </c>
      <c r="M8" s="21" t="s">
        <v>246</v>
      </c>
      <c r="N8" s="21" t="s">
        <v>264</v>
      </c>
      <c r="O8" s="21" t="s">
        <v>98</v>
      </c>
      <c r="P8" s="21" t="s">
        <v>264</v>
      </c>
      <c r="Q8" s="21"/>
      <c r="R8" s="21" t="s">
        <v>285</v>
      </c>
      <c r="S8" s="21"/>
      <c r="T8" s="21"/>
      <c r="U8" s="21" t="s">
        <v>266</v>
      </c>
      <c r="V8" s="21"/>
      <c r="W8" s="21" t="s">
        <v>54</v>
      </c>
      <c r="X8" s="21" t="s">
        <v>252</v>
      </c>
    </row>
  </sheetData>
  <autoFilter ref="A2:X502"/>
  <conditionalFormatting sqref="N3:N502">
    <cfRule type="cellIs" priority="2" operator="equal" aboveAverage="0" equalAverage="0" bottom="0" percent="0" rank="0" text="" dxfId="12">
      <formula>"Critical"</formula>
    </cfRule>
    <cfRule type="cellIs" priority="3" operator="equal" aboveAverage="0" equalAverage="0" bottom="0" percent="0" rank="0" text="" dxfId="2">
      <formula>"High"</formula>
    </cfRule>
    <cfRule type="cellIs" priority="4" operator="equal" aboveAverage="0" equalAverage="0" bottom="0" percent="0" rank="0" text="" dxfId="1">
      <formula>"Medium"</formula>
    </cfRule>
    <cfRule type="cellIs" priority="5" operator="equal" aboveAverage="0" equalAverage="0" bottom="0" percent="0" rank="0" text="" dxfId="0">
      <formula>"Low"</formula>
    </cfRule>
  </conditionalFormatting>
  <conditionalFormatting sqref="O3:O502">
    <cfRule type="cellIs" priority="6" operator="equal" aboveAverage="0" equalAverage="0" bottom="0" percent="0" rank="0" text="" dxfId="3">
      <formula>"Not Started"</formula>
    </cfRule>
    <cfRule type="cellIs" priority="7" operator="equal" aboveAverage="0" equalAverage="0" bottom="0" percent="0" rank="0" text="" dxfId="1">
      <formula>"Discovered"</formula>
    </cfRule>
    <cfRule type="cellIs" priority="8" operator="equal" aboveAverage="0" equalAverage="0" bottom="0" percent="0" rank="0" text="" dxfId="1">
      <formula>"Partially Documented"</formula>
    </cfRule>
    <cfRule type="cellIs" priority="9" operator="equal" aboveAverage="0" equalAverage="0" bottom="0" percent="0" rank="0" text="" dxfId="0">
      <formula>"Documented"</formula>
    </cfRule>
    <cfRule type="cellIs" priority="10" operator="equal" aboveAverage="0" equalAverage="0" bottom="0" percent="0" rank="0" text="" dxfId="13">
      <formula>"Validated"</formula>
    </cfRule>
    <cfRule type="cellIs" priority="11" operator="equal" aboveAverage="0" equalAverage="0" bottom="0" percent="0" rank="0" text="" dxfId="2">
      <formula>"Needs Update"</formula>
    </cfRule>
  </conditionalFormatting>
  <conditionalFormatting sqref="P3:P502">
    <cfRule type="cellIs" priority="12" operator="equal" aboveAverage="0" equalAverage="0" bottom="0" percent="0" rank="0" text="" dxfId="0">
      <formula>"High"</formula>
    </cfRule>
    <cfRule type="cellIs" priority="13" operator="equal" aboveAverage="0" equalAverage="0" bottom="0" percent="0" rank="0" text="" dxfId="1">
      <formula>"Medium"</formula>
    </cfRule>
    <cfRule type="cellIs" priority="14" operator="equal" aboveAverage="0" equalAverage="0" bottom="0" percent="0" rank="0" text="" dxfId="2">
      <formula>"Low"</formula>
    </cfRule>
    <cfRule type="cellIs" priority="15" operator="equal" aboveAverage="0" equalAverage="0" bottom="0" percent="0" rank="0" text="" dxfId="3">
      <formula>"Unknown"</formula>
    </cfRule>
  </conditionalFormatting>
  <dataValidations count="8">
    <dataValidation allowBlank="true" error="Use the dropdown. Edit lists on the Reference Lists sheet." errorStyle="stop" errorTitle="Pick from list" operator="between" showDropDown="false" showErrorMessage="true" showInputMessage="false" sqref="D3:D502" type="list">
      <formula1>'Reference Lists'!$A$2:$A$32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K3:K502" type="list">
      <formula1>'Reference Lists'!$B$2:$B$6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L3:L502" type="list">
      <formula1>'Reference Lists'!$C$2:$C$4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M3:M502" type="list">
      <formula1>'Reference Lists'!$D$2:$D$5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N3:N502" type="list">
      <formula1>'Reference Lists'!$E$2:$E$6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O3:O502" type="list">
      <formula1>'Reference Lists'!$F$2:$F$7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P3:P502" type="list">
      <formula1>'Reference Lists'!$G$2:$G$5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U3:U502" type="list">
      <formula1>'Reference Lists'!$H$2:$H$6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1"/>
    <col collapsed="false" customWidth="true" hidden="false" outlineLevel="0" max="2" min="2" style="2" width="28"/>
    <col collapsed="false" customWidth="true" hidden="false" outlineLevel="0" max="3" min="3" style="2" width="20"/>
    <col collapsed="false" customWidth="true" hidden="false" outlineLevel="0" max="4" min="4" style="2" width="18"/>
    <col collapsed="false" customWidth="true" hidden="false" outlineLevel="0" max="6" min="5" style="2" width="10"/>
    <col collapsed="false" customWidth="true" hidden="false" outlineLevel="0" max="7" min="7" style="2" width="34"/>
    <col collapsed="false" customWidth="true" hidden="false" outlineLevel="0" max="9" min="8" style="2" width="16"/>
    <col collapsed="false" customWidth="true" hidden="false" outlineLevel="0" max="12" min="10" style="2" width="28"/>
    <col collapsed="false" customWidth="true" hidden="false" outlineLevel="0" max="13" min="13" style="2" width="26"/>
    <col collapsed="false" customWidth="true" hidden="false" outlineLevel="0" max="14" min="14" style="2" width="12"/>
    <col collapsed="false" customWidth="true" hidden="false" outlineLevel="0" max="15" min="15" style="2" width="17"/>
    <col collapsed="false" customWidth="true" hidden="false" outlineLevel="0" max="16" min="16" style="2" width="12"/>
    <col collapsed="false" customWidth="true" hidden="false" outlineLevel="0" max="17" min="17" style="2" width="32"/>
    <col collapsed="false" customWidth="true" hidden="false" outlineLevel="0" max="18" min="18" style="2" width="18"/>
    <col collapsed="false" customWidth="true" hidden="false" outlineLevel="0" max="19" min="19" style="20" width="13"/>
    <col collapsed="false" customWidth="true" hidden="false" outlineLevel="0" max="20" min="20" style="2" width="36"/>
  </cols>
  <sheetData>
    <row r="1" customFormat="false" ht="15" hidden="false" customHeight="false" outlineLevel="0" collapsed="false">
      <c r="A1" s="8" t="s">
        <v>286</v>
      </c>
    </row>
    <row r="2" customFormat="false" ht="42" hidden="false" customHeight="true" outlineLevel="0" collapsed="false">
      <c r="A2" s="13" t="s">
        <v>287</v>
      </c>
      <c r="B2" s="13" t="s">
        <v>288</v>
      </c>
      <c r="C2" s="13" t="s">
        <v>220</v>
      </c>
      <c r="D2" s="13" t="s">
        <v>289</v>
      </c>
      <c r="E2" s="13" t="s">
        <v>290</v>
      </c>
      <c r="F2" s="13" t="s">
        <v>245</v>
      </c>
      <c r="G2" s="13" t="s">
        <v>1</v>
      </c>
      <c r="H2" s="13" t="s">
        <v>222</v>
      </c>
      <c r="I2" s="13" t="s">
        <v>223</v>
      </c>
      <c r="J2" s="13" t="s">
        <v>291</v>
      </c>
      <c r="K2" s="13" t="s">
        <v>292</v>
      </c>
      <c r="L2" s="13" t="s">
        <v>293</v>
      </c>
      <c r="M2" s="13" t="s">
        <v>294</v>
      </c>
      <c r="N2" s="13" t="s">
        <v>227</v>
      </c>
      <c r="O2" s="13" t="s">
        <v>228</v>
      </c>
      <c r="P2" s="13" t="s">
        <v>166</v>
      </c>
      <c r="Q2" s="13" t="s">
        <v>165</v>
      </c>
      <c r="R2" s="13" t="s">
        <v>233</v>
      </c>
      <c r="S2" s="13" t="s">
        <v>232</v>
      </c>
      <c r="T2" s="13" t="s">
        <v>236</v>
      </c>
    </row>
    <row r="3" customFormat="false" ht="35.05" hidden="false" customHeight="false" outlineLevel="0" collapsed="false">
      <c r="A3" s="21" t="s">
        <v>295</v>
      </c>
      <c r="B3" s="21" t="s">
        <v>240</v>
      </c>
      <c r="C3" s="21" t="s">
        <v>241</v>
      </c>
      <c r="D3" s="21" t="s">
        <v>246</v>
      </c>
      <c r="E3" s="21" t="s">
        <v>296</v>
      </c>
      <c r="F3" s="21" t="s">
        <v>245</v>
      </c>
      <c r="G3" s="21" t="s">
        <v>297</v>
      </c>
      <c r="H3" s="21"/>
      <c r="I3" s="21"/>
      <c r="J3" s="21" t="s">
        <v>298</v>
      </c>
      <c r="K3" s="21" t="s">
        <v>238</v>
      </c>
      <c r="L3" s="21" t="s">
        <v>243</v>
      </c>
      <c r="M3" s="21" t="s">
        <v>299</v>
      </c>
      <c r="N3" s="21" t="s">
        <v>248</v>
      </c>
      <c r="O3" s="21" t="s">
        <v>263</v>
      </c>
      <c r="P3" s="21" t="s">
        <v>264</v>
      </c>
      <c r="Q3" s="21"/>
      <c r="R3" s="21" t="s">
        <v>259</v>
      </c>
      <c r="S3" s="21"/>
      <c r="T3" s="21" t="s">
        <v>252</v>
      </c>
    </row>
  </sheetData>
  <autoFilter ref="A2:T502"/>
  <conditionalFormatting sqref="N3:N502">
    <cfRule type="cellIs" priority="2" operator="equal" aboveAverage="0" equalAverage="0" bottom="0" percent="0" rank="0" text="" dxfId="12">
      <formula>"Critical"</formula>
    </cfRule>
    <cfRule type="cellIs" priority="3" operator="equal" aboveAverage="0" equalAverage="0" bottom="0" percent="0" rank="0" text="" dxfId="2">
      <formula>"High"</formula>
    </cfRule>
    <cfRule type="cellIs" priority="4" operator="equal" aboveAverage="0" equalAverage="0" bottom="0" percent="0" rank="0" text="" dxfId="1">
      <formula>"Medium"</formula>
    </cfRule>
    <cfRule type="cellIs" priority="5" operator="equal" aboveAverage="0" equalAverage="0" bottom="0" percent="0" rank="0" text="" dxfId="0">
      <formula>"Low"</formula>
    </cfRule>
  </conditionalFormatting>
  <conditionalFormatting sqref="O3:O502">
    <cfRule type="cellIs" priority="6" operator="equal" aboveAverage="0" equalAverage="0" bottom="0" percent="0" rank="0" text="" dxfId="3">
      <formula>"Not Started"</formula>
    </cfRule>
    <cfRule type="cellIs" priority="7" operator="equal" aboveAverage="0" equalAverage="0" bottom="0" percent="0" rank="0" text="" dxfId="1">
      <formula>"Discovered"</formula>
    </cfRule>
    <cfRule type="cellIs" priority="8" operator="equal" aboveAverage="0" equalAverage="0" bottom="0" percent="0" rank="0" text="" dxfId="1">
      <formula>"Partially Documented"</formula>
    </cfRule>
    <cfRule type="cellIs" priority="9" operator="equal" aboveAverage="0" equalAverage="0" bottom="0" percent="0" rank="0" text="" dxfId="0">
      <formula>"Documented"</formula>
    </cfRule>
    <cfRule type="cellIs" priority="10" operator="equal" aboveAverage="0" equalAverage="0" bottom="0" percent="0" rank="0" text="" dxfId="13">
      <formula>"Validated"</formula>
    </cfRule>
    <cfRule type="cellIs" priority="11" operator="equal" aboveAverage="0" equalAverage="0" bottom="0" percent="0" rank="0" text="" dxfId="2">
      <formula>"Needs Update"</formula>
    </cfRule>
  </conditionalFormatting>
  <conditionalFormatting sqref="P3:P502">
    <cfRule type="cellIs" priority="12" operator="equal" aboveAverage="0" equalAverage="0" bottom="0" percent="0" rank="0" text="" dxfId="0">
      <formula>"High"</formula>
    </cfRule>
    <cfRule type="cellIs" priority="13" operator="equal" aboveAverage="0" equalAverage="0" bottom="0" percent="0" rank="0" text="" dxfId="1">
      <formula>"Medium"</formula>
    </cfRule>
    <cfRule type="cellIs" priority="14" operator="equal" aboveAverage="0" equalAverage="0" bottom="0" percent="0" rank="0" text="" dxfId="2">
      <formula>"Low"</formula>
    </cfRule>
    <cfRule type="cellIs" priority="15" operator="equal" aboveAverage="0" equalAverage="0" bottom="0" percent="0" rank="0" text="" dxfId="3">
      <formula>"Unknown"</formula>
    </cfRule>
  </conditionalFormatting>
  <dataValidations count="6">
    <dataValidation allowBlank="true" error="Use the dropdown. Edit lists on the Reference Lists sheet." errorStyle="stop" errorTitle="Pick from list" operator="between" showDropDown="false" showErrorMessage="true" showInputMessage="false" sqref="D3:D502" type="list">
      <formula1>'Reference Lists'!$D$2:$D$5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F3:F502" type="list">
      <formula1>'Reference Lists'!$C$2:$C$4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N3:N502" type="list">
      <formula1>'Reference Lists'!$E$2:$E$6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O3:O502" type="list">
      <formula1>'Reference Lists'!$F$2:$F$7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P3:P502" type="list">
      <formula1>'Reference Lists'!$G$2:$G$5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R3:R502" type="list">
      <formula1>'Reference Lists'!$H$2:$H$6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1"/>
    <col collapsed="false" customWidth="true" hidden="false" outlineLevel="0" max="2" min="2" style="2" width="24"/>
    <col collapsed="false" customWidth="true" hidden="false" outlineLevel="0" max="3" min="3" style="2" width="20"/>
    <col collapsed="false" customWidth="true" hidden="false" outlineLevel="0" max="4" min="4" style="2" width="18"/>
    <col collapsed="false" customWidth="true" hidden="false" outlineLevel="0" max="5" min="5" style="2" width="16"/>
    <col collapsed="false" customWidth="true" hidden="false" outlineLevel="0" max="6" min="6" style="2" width="18"/>
    <col collapsed="false" customWidth="true" hidden="false" outlineLevel="0" max="7" min="7" style="2" width="20"/>
    <col collapsed="false" customWidth="true" hidden="false" outlineLevel="0" max="8" min="8" style="2" width="32"/>
    <col collapsed="false" customWidth="true" hidden="false" outlineLevel="0" max="9" min="9" style="2" width="22"/>
    <col collapsed="false" customWidth="true" hidden="false" outlineLevel="0" max="11" min="10" style="2" width="16"/>
    <col collapsed="false" customWidth="true" hidden="false" outlineLevel="0" max="12" min="12" style="2" width="12"/>
    <col collapsed="false" customWidth="true" hidden="false" outlineLevel="0" max="14" min="13" style="2" width="14"/>
    <col collapsed="false" customWidth="true" hidden="false" outlineLevel="0" max="15" min="15" style="2" width="18"/>
    <col collapsed="false" customWidth="true" hidden="false" outlineLevel="0" max="16" min="16" style="2" width="28"/>
    <col collapsed="false" customWidth="true" hidden="false" outlineLevel="0" max="18" min="17" style="2" width="20"/>
    <col collapsed="false" customWidth="true" hidden="false" outlineLevel="0" max="20" min="19" style="2" width="26"/>
    <col collapsed="false" customWidth="true" hidden="false" outlineLevel="0" max="21" min="21" style="2" width="24"/>
    <col collapsed="false" customWidth="true" hidden="false" outlineLevel="0" max="22" min="22" style="2" width="28"/>
    <col collapsed="false" customWidth="true" hidden="false" outlineLevel="0" max="24" min="23" style="2" width="26"/>
    <col collapsed="false" customWidth="true" hidden="false" outlineLevel="0" max="33" min="25" style="2" width="22"/>
    <col collapsed="false" customWidth="true" hidden="false" outlineLevel="0" max="35" min="34" style="2" width="20"/>
    <col collapsed="false" customWidth="true" hidden="false" outlineLevel="0" max="38" min="36" style="2" width="24"/>
    <col collapsed="false" customWidth="true" hidden="false" outlineLevel="0" max="41" min="39" style="2" width="18"/>
    <col collapsed="false" customWidth="true" hidden="false" outlineLevel="0" max="42" min="42" style="2" width="20"/>
    <col collapsed="false" customWidth="true" hidden="false" outlineLevel="0" max="43" min="43" style="2" width="15"/>
    <col collapsed="false" customWidth="true" hidden="false" outlineLevel="0" max="47" min="44" style="2" width="24"/>
    <col collapsed="false" customWidth="true" hidden="false" outlineLevel="0" max="48" min="48" style="2" width="12"/>
    <col collapsed="false" customWidth="true" hidden="false" outlineLevel="0" max="49" min="49" style="2" width="18"/>
    <col collapsed="false" customWidth="true" hidden="false" outlineLevel="0" max="50" min="50" style="2" width="26"/>
    <col collapsed="false" customWidth="true" hidden="false" outlineLevel="0" max="51" min="51" style="2" width="17"/>
    <col collapsed="false" customWidth="true" hidden="false" outlineLevel="0" max="52" min="52" style="2" width="12"/>
    <col collapsed="false" customWidth="true" hidden="false" outlineLevel="0" max="53" min="53" style="2" width="32"/>
    <col collapsed="false" customWidth="true" hidden="false" outlineLevel="0" max="54" min="54" style="2" width="18"/>
    <col collapsed="false" customWidth="true" hidden="false" outlineLevel="0" max="55" min="55" style="20" width="13"/>
    <col collapsed="false" customWidth="true" hidden="false" outlineLevel="0" max="56" min="56" style="2" width="36"/>
  </cols>
  <sheetData>
    <row r="1" customFormat="false" ht="15" hidden="false" customHeight="false" outlineLevel="0" collapsed="false">
      <c r="A1" s="8" t="s">
        <v>300</v>
      </c>
    </row>
    <row r="2" customFormat="false" ht="48" hidden="false" customHeight="true" outlineLevel="0" collapsed="false">
      <c r="A2" s="13" t="s">
        <v>301</v>
      </c>
      <c r="B2" s="13" t="s">
        <v>302</v>
      </c>
      <c r="C2" s="13" t="s">
        <v>303</v>
      </c>
      <c r="D2" s="13" t="s">
        <v>134</v>
      </c>
      <c r="E2" s="13" t="s">
        <v>220</v>
      </c>
      <c r="F2" s="13" t="s">
        <v>304</v>
      </c>
      <c r="G2" s="13" t="s">
        <v>305</v>
      </c>
      <c r="H2" s="13" t="s">
        <v>1</v>
      </c>
      <c r="I2" s="13" t="s">
        <v>221</v>
      </c>
      <c r="J2" s="13" t="s">
        <v>222</v>
      </c>
      <c r="K2" s="13" t="s">
        <v>223</v>
      </c>
      <c r="L2" s="13" t="s">
        <v>306</v>
      </c>
      <c r="M2" s="13" t="s">
        <v>307</v>
      </c>
      <c r="N2" s="13" t="s">
        <v>308</v>
      </c>
      <c r="O2" s="13" t="s">
        <v>309</v>
      </c>
      <c r="P2" s="13" t="s">
        <v>310</v>
      </c>
      <c r="Q2" s="13" t="s">
        <v>311</v>
      </c>
      <c r="R2" s="13" t="s">
        <v>155</v>
      </c>
      <c r="S2" s="13" t="s">
        <v>312</v>
      </c>
      <c r="T2" s="13" t="s">
        <v>313</v>
      </c>
      <c r="U2" s="13" t="s">
        <v>314</v>
      </c>
      <c r="V2" s="13" t="s">
        <v>315</v>
      </c>
      <c r="W2" s="13" t="s">
        <v>316</v>
      </c>
      <c r="X2" s="13" t="s">
        <v>212</v>
      </c>
      <c r="Y2" s="13" t="s">
        <v>317</v>
      </c>
      <c r="Z2" s="13" t="s">
        <v>318</v>
      </c>
      <c r="AA2" s="13" t="s">
        <v>319</v>
      </c>
      <c r="AB2" s="13" t="s">
        <v>320</v>
      </c>
      <c r="AC2" s="13" t="s">
        <v>321</v>
      </c>
      <c r="AD2" s="13" t="s">
        <v>322</v>
      </c>
      <c r="AE2" s="13" t="s">
        <v>323</v>
      </c>
      <c r="AF2" s="13" t="s">
        <v>324</v>
      </c>
      <c r="AG2" s="13" t="s">
        <v>325</v>
      </c>
      <c r="AH2" s="13" t="s">
        <v>326</v>
      </c>
      <c r="AI2" s="13" t="s">
        <v>327</v>
      </c>
      <c r="AJ2" s="13" t="s">
        <v>328</v>
      </c>
      <c r="AK2" s="13" t="s">
        <v>329</v>
      </c>
      <c r="AL2" s="13" t="s">
        <v>330</v>
      </c>
      <c r="AM2" s="13" t="s">
        <v>331</v>
      </c>
      <c r="AN2" s="13" t="s">
        <v>332</v>
      </c>
      <c r="AO2" s="13" t="s">
        <v>333</v>
      </c>
      <c r="AP2" s="13" t="s">
        <v>334</v>
      </c>
      <c r="AQ2" s="13" t="s">
        <v>226</v>
      </c>
      <c r="AR2" s="13" t="s">
        <v>335</v>
      </c>
      <c r="AS2" s="13" t="s">
        <v>336</v>
      </c>
      <c r="AT2" s="13" t="s">
        <v>337</v>
      </c>
      <c r="AU2" s="13" t="s">
        <v>338</v>
      </c>
      <c r="AV2" s="13" t="s">
        <v>227</v>
      </c>
      <c r="AW2" s="13" t="s">
        <v>339</v>
      </c>
      <c r="AX2" s="13" t="s">
        <v>340</v>
      </c>
      <c r="AY2" s="13" t="s">
        <v>228</v>
      </c>
      <c r="AZ2" s="13" t="s">
        <v>166</v>
      </c>
      <c r="BA2" s="13" t="s">
        <v>165</v>
      </c>
      <c r="BB2" s="13" t="s">
        <v>233</v>
      </c>
      <c r="BC2" s="13" t="s">
        <v>232</v>
      </c>
      <c r="BD2" s="13" t="s">
        <v>236</v>
      </c>
    </row>
    <row r="3" customFormat="false" ht="35.05" hidden="false" customHeight="false" outlineLevel="0" collapsed="false">
      <c r="A3" s="21" t="s">
        <v>341</v>
      </c>
      <c r="B3" s="21" t="s">
        <v>238</v>
      </c>
      <c r="C3" s="21" t="s">
        <v>239</v>
      </c>
      <c r="D3" s="21" t="s">
        <v>240</v>
      </c>
      <c r="E3" s="21" t="s">
        <v>241</v>
      </c>
      <c r="F3" s="21" t="s">
        <v>342</v>
      </c>
      <c r="G3" s="21"/>
      <c r="H3" s="21" t="s">
        <v>343</v>
      </c>
      <c r="I3" s="21" t="s">
        <v>243</v>
      </c>
      <c r="J3" s="21"/>
      <c r="K3" s="21"/>
      <c r="L3" s="21" t="s">
        <v>344</v>
      </c>
      <c r="M3" s="21" t="s">
        <v>345</v>
      </c>
      <c r="N3" s="21" t="s">
        <v>346</v>
      </c>
      <c r="O3" s="21"/>
      <c r="P3" s="21" t="s">
        <v>347</v>
      </c>
      <c r="Q3" s="21" t="s">
        <v>348</v>
      </c>
      <c r="R3" s="21" t="s">
        <v>349</v>
      </c>
      <c r="S3" s="21" t="s">
        <v>350</v>
      </c>
      <c r="T3" s="21"/>
      <c r="U3" s="21"/>
      <c r="V3" s="21"/>
      <c r="W3" s="21" t="s">
        <v>268</v>
      </c>
      <c r="X3" s="21" t="s">
        <v>257</v>
      </c>
      <c r="Y3" s="21"/>
      <c r="Z3" s="21"/>
      <c r="AA3" s="21"/>
      <c r="AB3" s="21"/>
      <c r="AC3" s="21"/>
      <c r="AD3" s="21"/>
      <c r="AE3" s="21"/>
      <c r="AF3" s="21" t="s">
        <v>285</v>
      </c>
      <c r="AG3" s="21"/>
      <c r="AH3" s="21" t="s">
        <v>282</v>
      </c>
      <c r="AI3" s="21"/>
      <c r="AJ3" s="21"/>
      <c r="AK3" s="21"/>
      <c r="AL3" s="21"/>
      <c r="AM3" s="21"/>
      <c r="AN3" s="21"/>
      <c r="AO3" s="21"/>
      <c r="AP3" s="21"/>
      <c r="AQ3" s="21" t="s">
        <v>246</v>
      </c>
      <c r="AR3" s="21"/>
      <c r="AS3" s="21"/>
      <c r="AT3" s="21"/>
      <c r="AU3" s="21"/>
      <c r="AV3" s="21" t="s">
        <v>247</v>
      </c>
      <c r="AW3" s="21" t="s">
        <v>351</v>
      </c>
      <c r="AX3" s="21"/>
      <c r="AY3" s="21" t="s">
        <v>98</v>
      </c>
      <c r="AZ3" s="21" t="s">
        <v>248</v>
      </c>
      <c r="BA3" s="21" t="s">
        <v>352</v>
      </c>
      <c r="BB3" s="21" t="s">
        <v>266</v>
      </c>
      <c r="BC3" s="21"/>
      <c r="BD3" s="21" t="s">
        <v>252</v>
      </c>
    </row>
  </sheetData>
  <autoFilter ref="A2:BD502"/>
  <conditionalFormatting sqref="AV3:AV502">
    <cfRule type="cellIs" priority="2" operator="equal" aboveAverage="0" equalAverage="0" bottom="0" percent="0" rank="0" text="" dxfId="12">
      <formula>"Critical"</formula>
    </cfRule>
    <cfRule type="cellIs" priority="3" operator="equal" aboveAverage="0" equalAverage="0" bottom="0" percent="0" rank="0" text="" dxfId="2">
      <formula>"High"</formula>
    </cfRule>
    <cfRule type="cellIs" priority="4" operator="equal" aboveAverage="0" equalAverage="0" bottom="0" percent="0" rank="0" text="" dxfId="1">
      <formula>"Medium"</formula>
    </cfRule>
    <cfRule type="cellIs" priority="5" operator="equal" aboveAverage="0" equalAverage="0" bottom="0" percent="0" rank="0" text="" dxfId="0">
      <formula>"Low"</formula>
    </cfRule>
  </conditionalFormatting>
  <conditionalFormatting sqref="AY3:AY502">
    <cfRule type="cellIs" priority="6" operator="equal" aboveAverage="0" equalAverage="0" bottom="0" percent="0" rank="0" text="" dxfId="3">
      <formula>"Not Started"</formula>
    </cfRule>
    <cfRule type="cellIs" priority="7" operator="equal" aboveAverage="0" equalAverage="0" bottom="0" percent="0" rank="0" text="" dxfId="1">
      <formula>"Discovered"</formula>
    </cfRule>
    <cfRule type="cellIs" priority="8" operator="equal" aboveAverage="0" equalAverage="0" bottom="0" percent="0" rank="0" text="" dxfId="1">
      <formula>"Partially Documented"</formula>
    </cfRule>
    <cfRule type="cellIs" priority="9" operator="equal" aboveAverage="0" equalAverage="0" bottom="0" percent="0" rank="0" text="" dxfId="0">
      <formula>"Documented"</formula>
    </cfRule>
    <cfRule type="cellIs" priority="10" operator="equal" aboveAverage="0" equalAverage="0" bottom="0" percent="0" rank="0" text="" dxfId="13">
      <formula>"Validated"</formula>
    </cfRule>
    <cfRule type="cellIs" priority="11" operator="equal" aboveAverage="0" equalAverage="0" bottom="0" percent="0" rank="0" text="" dxfId="2">
      <formula>"Needs Update"</formula>
    </cfRule>
  </conditionalFormatting>
  <conditionalFormatting sqref="AZ3:AZ502">
    <cfRule type="cellIs" priority="12" operator="equal" aboveAverage="0" equalAverage="0" bottom="0" percent="0" rank="0" text="" dxfId="0">
      <formula>"High"</formula>
    </cfRule>
    <cfRule type="cellIs" priority="13" operator="equal" aboveAverage="0" equalAverage="0" bottom="0" percent="0" rank="0" text="" dxfId="1">
      <formula>"Medium"</formula>
    </cfRule>
    <cfRule type="cellIs" priority="14" operator="equal" aboveAverage="0" equalAverage="0" bottom="0" percent="0" rank="0" text="" dxfId="2">
      <formula>"Low"</formula>
    </cfRule>
    <cfRule type="cellIs" priority="15" operator="equal" aboveAverage="0" equalAverage="0" bottom="0" percent="0" rank="0" text="" dxfId="3">
      <formula>"Unknown"</formula>
    </cfRule>
  </conditionalFormatting>
  <dataValidations count="5">
    <dataValidation allowBlank="true" error="Use the dropdown. Edit lists on the Reference Lists sheet." errorStyle="stop" errorTitle="Pick from list" operator="between" showDropDown="false" showErrorMessage="true" showInputMessage="false" sqref="AQ3:AQ502" type="list">
      <formula1>'Reference Lists'!$D$2:$D$5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V3:AV502" type="list">
      <formula1>'Reference Lists'!$E$2:$E$6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Y3:AY502" type="list">
      <formula1>'Reference Lists'!$F$2:$F$7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Z3:AZ502" type="list">
      <formula1>'Reference Lists'!$G$2:$G$5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BB3:BB502" type="list">
      <formula1>'Reference Lists'!$H$2:$H$6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1"/>
    <col collapsed="false" customWidth="true" hidden="false" outlineLevel="0" max="2" min="2" style="2" width="22"/>
    <col collapsed="false" customWidth="true" hidden="false" outlineLevel="0" max="3" min="3" style="2" width="20"/>
    <col collapsed="false" customWidth="true" hidden="false" outlineLevel="0" max="4" min="4" style="2" width="18"/>
    <col collapsed="false" customWidth="true" hidden="false" outlineLevel="0" max="5" min="5" style="2" width="14"/>
    <col collapsed="false" customWidth="true" hidden="false" outlineLevel="0" max="6" min="6" style="2" width="8"/>
    <col collapsed="false" customWidth="true" hidden="false" outlineLevel="0" max="7" min="7" style="2" width="18"/>
    <col collapsed="false" customWidth="true" hidden="false" outlineLevel="0" max="8" min="8" style="2" width="26"/>
    <col collapsed="false" customWidth="true" hidden="false" outlineLevel="0" max="9" min="9" style="2" width="16"/>
    <col collapsed="false" customWidth="true" hidden="false" outlineLevel="0" max="12" min="10" style="2" width="10"/>
    <col collapsed="false" customWidth="true" hidden="false" outlineLevel="0" max="13" min="13" style="2" width="24"/>
    <col collapsed="false" customWidth="true" hidden="false" outlineLevel="0" max="14" min="14" style="2" width="12"/>
    <col collapsed="false" customWidth="true" hidden="false" outlineLevel="0" max="15" min="15" style="2" width="20"/>
    <col collapsed="false" customWidth="true" hidden="false" outlineLevel="0" max="16" min="16" style="2" width="22"/>
    <col collapsed="false" customWidth="true" hidden="false" outlineLevel="0" max="19" min="17" style="2" width="30"/>
    <col collapsed="false" customWidth="true" hidden="false" outlineLevel="0" max="20" min="20" style="2" width="36"/>
    <col collapsed="false" customWidth="true" hidden="false" outlineLevel="0" max="21" min="21" style="2" width="24"/>
    <col collapsed="false" customWidth="true" hidden="false" outlineLevel="0" max="22" min="22" style="2" width="12"/>
    <col collapsed="false" customWidth="true" hidden="false" outlineLevel="0" max="23" min="23" style="2" width="17"/>
    <col collapsed="false" customWidth="true" hidden="false" outlineLevel="0" max="24" min="24" style="2" width="12"/>
    <col collapsed="false" customWidth="true" hidden="false" outlineLevel="0" max="25" min="25" style="2" width="32"/>
    <col collapsed="false" customWidth="true" hidden="false" outlineLevel="0" max="26" min="26" style="2" width="18"/>
    <col collapsed="false" customWidth="true" hidden="false" outlineLevel="0" max="27" min="27" style="20" width="13"/>
    <col collapsed="false" customWidth="true" hidden="false" outlineLevel="0" max="28" min="28" style="2" width="36"/>
  </cols>
  <sheetData>
    <row r="1" customFormat="false" ht="15" hidden="false" customHeight="false" outlineLevel="0" collapsed="false">
      <c r="A1" s="8" t="s">
        <v>353</v>
      </c>
    </row>
    <row r="2" customFormat="false" ht="42" hidden="false" customHeight="true" outlineLevel="0" collapsed="false">
      <c r="A2" s="13" t="s">
        <v>354</v>
      </c>
      <c r="B2" s="13" t="s">
        <v>132</v>
      </c>
      <c r="C2" s="13" t="s">
        <v>355</v>
      </c>
      <c r="D2" s="13" t="s">
        <v>303</v>
      </c>
      <c r="E2" s="13" t="s">
        <v>356</v>
      </c>
      <c r="F2" s="13" t="s">
        <v>357</v>
      </c>
      <c r="G2" s="13" t="s">
        <v>358</v>
      </c>
      <c r="H2" s="13" t="s">
        <v>359</v>
      </c>
      <c r="I2" s="13" t="s">
        <v>360</v>
      </c>
      <c r="J2" s="13" t="s">
        <v>361</v>
      </c>
      <c r="K2" s="13" t="s">
        <v>362</v>
      </c>
      <c r="L2" s="13" t="s">
        <v>363</v>
      </c>
      <c r="M2" s="13" t="s">
        <v>364</v>
      </c>
      <c r="N2" s="13" t="s">
        <v>365</v>
      </c>
      <c r="O2" s="13" t="s">
        <v>366</v>
      </c>
      <c r="P2" s="13" t="s">
        <v>367</v>
      </c>
      <c r="Q2" s="13" t="s">
        <v>368</v>
      </c>
      <c r="R2" s="13" t="s">
        <v>369</v>
      </c>
      <c r="S2" s="13" t="s">
        <v>370</v>
      </c>
      <c r="T2" s="13" t="s">
        <v>371</v>
      </c>
      <c r="U2" s="13" t="s">
        <v>229</v>
      </c>
      <c r="V2" s="13" t="s">
        <v>227</v>
      </c>
      <c r="W2" s="13" t="s">
        <v>228</v>
      </c>
      <c r="X2" s="13" t="s">
        <v>166</v>
      </c>
      <c r="Y2" s="13" t="s">
        <v>165</v>
      </c>
      <c r="Z2" s="13" t="s">
        <v>233</v>
      </c>
      <c r="AA2" s="13" t="s">
        <v>232</v>
      </c>
      <c r="AB2" s="13" t="s">
        <v>236</v>
      </c>
    </row>
    <row r="3" customFormat="false" ht="35.05" hidden="false" customHeight="false" outlineLevel="0" collapsed="false">
      <c r="A3" s="21" t="s">
        <v>372</v>
      </c>
      <c r="B3" s="21" t="s">
        <v>238</v>
      </c>
      <c r="C3" s="21" t="s">
        <v>373</v>
      </c>
      <c r="D3" s="21" t="s">
        <v>374</v>
      </c>
      <c r="E3" s="21" t="s">
        <v>375</v>
      </c>
      <c r="F3" s="21"/>
      <c r="G3" s="21" t="s">
        <v>376</v>
      </c>
      <c r="H3" s="21" t="s">
        <v>377</v>
      </c>
      <c r="I3" s="21"/>
      <c r="J3" s="21" t="s">
        <v>378</v>
      </c>
      <c r="K3" s="21"/>
      <c r="L3" s="21"/>
      <c r="M3" s="21"/>
      <c r="N3" s="21"/>
      <c r="O3" s="21"/>
      <c r="P3" s="21"/>
      <c r="Q3" s="21" t="s">
        <v>379</v>
      </c>
      <c r="R3" s="21" t="s">
        <v>380</v>
      </c>
      <c r="S3" s="21" t="s">
        <v>381</v>
      </c>
      <c r="T3" s="21" t="s">
        <v>382</v>
      </c>
      <c r="U3" s="21"/>
      <c r="V3" s="21" t="s">
        <v>248</v>
      </c>
      <c r="W3" s="21" t="s">
        <v>98</v>
      </c>
      <c r="X3" s="21" t="s">
        <v>264</v>
      </c>
      <c r="Y3" s="21"/>
      <c r="Z3" s="21" t="s">
        <v>266</v>
      </c>
      <c r="AA3" s="21"/>
      <c r="AB3" s="21" t="s">
        <v>252</v>
      </c>
    </row>
  </sheetData>
  <autoFilter ref="A2:AB502"/>
  <conditionalFormatting sqref="V3:V502">
    <cfRule type="cellIs" priority="2" operator="equal" aboveAverage="0" equalAverage="0" bottom="0" percent="0" rank="0" text="" dxfId="12">
      <formula>"Critical"</formula>
    </cfRule>
    <cfRule type="cellIs" priority="3" operator="equal" aboveAverage="0" equalAverage="0" bottom="0" percent="0" rank="0" text="" dxfId="2">
      <formula>"High"</formula>
    </cfRule>
    <cfRule type="cellIs" priority="4" operator="equal" aboveAverage="0" equalAverage="0" bottom="0" percent="0" rank="0" text="" dxfId="1">
      <formula>"Medium"</formula>
    </cfRule>
    <cfRule type="cellIs" priority="5" operator="equal" aboveAverage="0" equalAverage="0" bottom="0" percent="0" rank="0" text="" dxfId="0">
      <formula>"Low"</formula>
    </cfRule>
  </conditionalFormatting>
  <conditionalFormatting sqref="W3:W502">
    <cfRule type="cellIs" priority="6" operator="equal" aboveAverage="0" equalAverage="0" bottom="0" percent="0" rank="0" text="" dxfId="3">
      <formula>"Not Started"</formula>
    </cfRule>
    <cfRule type="cellIs" priority="7" operator="equal" aboveAverage="0" equalAverage="0" bottom="0" percent="0" rank="0" text="" dxfId="1">
      <formula>"Discovered"</formula>
    </cfRule>
    <cfRule type="cellIs" priority="8" operator="equal" aboveAverage="0" equalAverage="0" bottom="0" percent="0" rank="0" text="" dxfId="1">
      <formula>"Partially Documented"</formula>
    </cfRule>
    <cfRule type="cellIs" priority="9" operator="equal" aboveAverage="0" equalAverage="0" bottom="0" percent="0" rank="0" text="" dxfId="0">
      <formula>"Documented"</formula>
    </cfRule>
    <cfRule type="cellIs" priority="10" operator="equal" aboveAverage="0" equalAverage="0" bottom="0" percent="0" rank="0" text="" dxfId="13">
      <formula>"Validated"</formula>
    </cfRule>
    <cfRule type="cellIs" priority="11" operator="equal" aboveAverage="0" equalAverage="0" bottom="0" percent="0" rank="0" text="" dxfId="2">
      <formula>"Needs Update"</formula>
    </cfRule>
  </conditionalFormatting>
  <conditionalFormatting sqref="X3:X502">
    <cfRule type="cellIs" priority="12" operator="equal" aboveAverage="0" equalAverage="0" bottom="0" percent="0" rank="0" text="" dxfId="0">
      <formula>"High"</formula>
    </cfRule>
    <cfRule type="cellIs" priority="13" operator="equal" aboveAverage="0" equalAverage="0" bottom="0" percent="0" rank="0" text="" dxfId="1">
      <formula>"Medium"</formula>
    </cfRule>
    <cfRule type="cellIs" priority="14" operator="equal" aboveAverage="0" equalAverage="0" bottom="0" percent="0" rank="0" text="" dxfId="2">
      <formula>"Low"</formula>
    </cfRule>
    <cfRule type="cellIs" priority="15" operator="equal" aboveAverage="0" equalAverage="0" bottom="0" percent="0" rank="0" text="" dxfId="3">
      <formula>"Unknown"</formula>
    </cfRule>
  </conditionalFormatting>
  <dataValidations count="9">
    <dataValidation allowBlank="true" error="Use the dropdown. Edit lists on the Reference Lists sheet." errorStyle="stop" errorTitle="Pick from list" operator="between" showDropDown="false" showErrorMessage="true" showInputMessage="false" sqref="E3:E502" type="list">
      <formula1>'Reference Lists'!$AB$2:$AB$13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J3:J502" type="list">
      <formula1>'Reference Lists'!$N$2:$N$4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K3:K502" type="list">
      <formula1>'Reference Lists'!$N$2:$N$4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L3:L502" type="list">
      <formula1>'Reference Lists'!$N$2:$N$4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N3:N502" type="list">
      <formula1>'Reference Lists'!$N$2:$N$4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V3:V502" type="list">
      <formula1>'Reference Lists'!$E$2:$E$6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W3:W502" type="list">
      <formula1>'Reference Lists'!$F$2:$F$7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X3:X502" type="list">
      <formula1>'Reference Lists'!$G$2:$G$5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Z3:Z502" type="list">
      <formula1>'Reference Lists'!$H$2:$H$6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2"/>
    <col collapsed="false" customWidth="true" hidden="false" outlineLevel="0" max="3" min="2" style="2" width="16"/>
    <col collapsed="false" customWidth="true" hidden="false" outlineLevel="0" max="4" min="4" style="2" width="26"/>
    <col collapsed="false" customWidth="true" hidden="false" outlineLevel="0" max="5" min="5" style="2" width="22"/>
    <col collapsed="false" customWidth="true" hidden="false" outlineLevel="0" max="7" min="6" style="2" width="16"/>
    <col collapsed="false" customWidth="true" hidden="false" outlineLevel="0" max="8" min="8" style="2" width="30"/>
    <col collapsed="false" customWidth="true" hidden="false" outlineLevel="0" max="9" min="9" style="2" width="22"/>
    <col collapsed="false" customWidth="true" hidden="false" outlineLevel="0" max="10" min="10" style="2" width="10"/>
    <col collapsed="false" customWidth="true" hidden="false" outlineLevel="0" max="11" min="11" style="2" width="12"/>
    <col collapsed="false" customWidth="true" hidden="false" outlineLevel="0" max="12" min="12" style="2" width="24"/>
    <col collapsed="false" customWidth="true" hidden="false" outlineLevel="0" max="13" min="13" style="2" width="26"/>
    <col collapsed="false" customWidth="true" hidden="false" outlineLevel="0" max="15" min="14" style="2" width="20"/>
    <col collapsed="false" customWidth="true" hidden="false" outlineLevel="0" max="17" min="16" style="2" width="22"/>
    <col collapsed="false" customWidth="true" hidden="false" outlineLevel="0" max="18" min="18" style="2" width="24"/>
    <col collapsed="false" customWidth="true" hidden="false" outlineLevel="0" max="19" min="19" style="2" width="20"/>
    <col collapsed="false" customWidth="true" hidden="false" outlineLevel="0" max="20" min="20" style="2" width="22"/>
    <col collapsed="false" customWidth="true" hidden="false" outlineLevel="0" max="21" min="21" style="2" width="20"/>
    <col collapsed="false" customWidth="true" hidden="false" outlineLevel="0" max="23" min="22" style="2" width="22"/>
    <col collapsed="false" customWidth="true" hidden="false" outlineLevel="0" max="24" min="24" style="2" width="20"/>
    <col collapsed="false" customWidth="true" hidden="false" outlineLevel="0" max="25" min="25" style="2" width="26"/>
    <col collapsed="false" customWidth="true" hidden="false" outlineLevel="0" max="26" min="26" style="2" width="24"/>
    <col collapsed="false" customWidth="true" hidden="false" outlineLevel="0" max="27" min="27" style="2" width="26"/>
    <col collapsed="false" customWidth="true" hidden="false" outlineLevel="0" max="28" min="28" style="2" width="17"/>
    <col collapsed="false" customWidth="true" hidden="false" outlineLevel="0" max="29" min="29" style="2" width="12"/>
    <col collapsed="false" customWidth="true" hidden="false" outlineLevel="0" max="30" min="30" style="2" width="32"/>
    <col collapsed="false" customWidth="true" hidden="false" outlineLevel="0" max="31" min="31" style="2" width="18"/>
    <col collapsed="false" customWidth="true" hidden="false" outlineLevel="0" max="32" min="32" style="20" width="13"/>
    <col collapsed="false" customWidth="true" hidden="false" outlineLevel="0" max="33" min="33" style="2" width="36"/>
  </cols>
  <sheetData>
    <row r="1" customFormat="false" ht="15" hidden="false" customHeight="false" outlineLevel="0" collapsed="false">
      <c r="A1" s="8" t="s">
        <v>383</v>
      </c>
    </row>
    <row r="2" customFormat="false" ht="42" hidden="false" customHeight="true" outlineLevel="0" collapsed="false">
      <c r="A2" s="13" t="s">
        <v>384</v>
      </c>
      <c r="B2" s="13" t="s">
        <v>385</v>
      </c>
      <c r="C2" s="13" t="s">
        <v>386</v>
      </c>
      <c r="D2" s="13" t="s">
        <v>387</v>
      </c>
      <c r="E2" s="13" t="s">
        <v>388</v>
      </c>
      <c r="F2" s="13" t="s">
        <v>222</v>
      </c>
      <c r="G2" s="13" t="s">
        <v>223</v>
      </c>
      <c r="H2" s="13" t="s">
        <v>1</v>
      </c>
      <c r="I2" s="13" t="s">
        <v>221</v>
      </c>
      <c r="J2" s="13" t="s">
        <v>245</v>
      </c>
      <c r="K2" s="13" t="s">
        <v>227</v>
      </c>
      <c r="L2" s="13" t="s">
        <v>389</v>
      </c>
      <c r="M2" s="13" t="s">
        <v>390</v>
      </c>
      <c r="N2" s="13" t="s">
        <v>391</v>
      </c>
      <c r="O2" s="13" t="s">
        <v>318</v>
      </c>
      <c r="P2" s="13" t="s">
        <v>392</v>
      </c>
      <c r="Q2" s="13" t="s">
        <v>393</v>
      </c>
      <c r="R2" s="13" t="s">
        <v>136</v>
      </c>
      <c r="S2" s="13" t="s">
        <v>394</v>
      </c>
      <c r="T2" s="13" t="s">
        <v>395</v>
      </c>
      <c r="U2" s="13" t="s">
        <v>396</v>
      </c>
      <c r="V2" s="13" t="s">
        <v>397</v>
      </c>
      <c r="W2" s="13" t="s">
        <v>398</v>
      </c>
      <c r="X2" s="13" t="s">
        <v>52</v>
      </c>
      <c r="Y2" s="13" t="s">
        <v>399</v>
      </c>
      <c r="Z2" s="13" t="s">
        <v>229</v>
      </c>
      <c r="AA2" s="13" t="s">
        <v>400</v>
      </c>
      <c r="AB2" s="13" t="s">
        <v>228</v>
      </c>
      <c r="AC2" s="13" t="s">
        <v>166</v>
      </c>
      <c r="AD2" s="13" t="s">
        <v>165</v>
      </c>
      <c r="AE2" s="13" t="s">
        <v>233</v>
      </c>
      <c r="AF2" s="13" t="s">
        <v>232</v>
      </c>
      <c r="AG2" s="13" t="s">
        <v>236</v>
      </c>
    </row>
    <row r="3" customFormat="false" ht="35.05" hidden="false" customHeight="false" outlineLevel="0" collapsed="false">
      <c r="A3" s="21" t="s">
        <v>401</v>
      </c>
      <c r="B3" s="21" t="s">
        <v>402</v>
      </c>
      <c r="C3" s="21" t="s">
        <v>403</v>
      </c>
      <c r="D3" s="21" t="s">
        <v>243</v>
      </c>
      <c r="E3" s="21" t="s">
        <v>404</v>
      </c>
      <c r="F3" s="21"/>
      <c r="G3" s="21"/>
      <c r="H3" s="21" t="s">
        <v>405</v>
      </c>
      <c r="I3" s="21" t="s">
        <v>243</v>
      </c>
      <c r="J3" s="21" t="s">
        <v>245</v>
      </c>
      <c r="K3" s="21" t="s">
        <v>248</v>
      </c>
      <c r="L3" s="21" t="s">
        <v>406</v>
      </c>
      <c r="M3" s="21" t="s">
        <v>407</v>
      </c>
      <c r="N3" s="21"/>
      <c r="O3" s="21"/>
      <c r="P3" s="21"/>
      <c r="Q3" s="21"/>
      <c r="R3" s="21" t="s">
        <v>257</v>
      </c>
      <c r="S3" s="21" t="s">
        <v>408</v>
      </c>
      <c r="T3" s="21" t="s">
        <v>409</v>
      </c>
      <c r="U3" s="21" t="s">
        <v>410</v>
      </c>
      <c r="V3" s="21" t="s">
        <v>411</v>
      </c>
      <c r="W3" s="21" t="s">
        <v>412</v>
      </c>
      <c r="X3" s="21" t="s">
        <v>275</v>
      </c>
      <c r="Y3" s="21"/>
      <c r="Z3" s="21"/>
      <c r="AA3" s="21"/>
      <c r="AB3" s="21" t="s">
        <v>263</v>
      </c>
      <c r="AC3" s="21" t="s">
        <v>264</v>
      </c>
      <c r="AD3" s="21"/>
      <c r="AE3" s="21" t="s">
        <v>259</v>
      </c>
      <c r="AF3" s="21"/>
      <c r="AG3" s="21" t="s">
        <v>252</v>
      </c>
    </row>
  </sheetData>
  <autoFilter ref="A2:AG502"/>
  <conditionalFormatting sqref="K3:K502">
    <cfRule type="cellIs" priority="2" operator="equal" aboveAverage="0" equalAverage="0" bottom="0" percent="0" rank="0" text="" dxfId="12">
      <formula>"Critical"</formula>
    </cfRule>
    <cfRule type="cellIs" priority="3" operator="equal" aboveAverage="0" equalAverage="0" bottom="0" percent="0" rank="0" text="" dxfId="2">
      <formula>"High"</formula>
    </cfRule>
    <cfRule type="cellIs" priority="4" operator="equal" aboveAverage="0" equalAverage="0" bottom="0" percent="0" rank="0" text="" dxfId="1">
      <formula>"Medium"</formula>
    </cfRule>
    <cfRule type="cellIs" priority="5" operator="equal" aboveAverage="0" equalAverage="0" bottom="0" percent="0" rank="0" text="" dxfId="0">
      <formula>"Low"</formula>
    </cfRule>
  </conditionalFormatting>
  <conditionalFormatting sqref="AB3:AB502">
    <cfRule type="cellIs" priority="6" operator="equal" aboveAverage="0" equalAverage="0" bottom="0" percent="0" rank="0" text="" dxfId="3">
      <formula>"Not Started"</formula>
    </cfRule>
    <cfRule type="cellIs" priority="7" operator="equal" aboveAverage="0" equalAverage="0" bottom="0" percent="0" rank="0" text="" dxfId="1">
      <formula>"Discovered"</formula>
    </cfRule>
    <cfRule type="cellIs" priority="8" operator="equal" aboveAverage="0" equalAverage="0" bottom="0" percent="0" rank="0" text="" dxfId="1">
      <formula>"Partially Documented"</formula>
    </cfRule>
    <cfRule type="cellIs" priority="9" operator="equal" aboveAverage="0" equalAverage="0" bottom="0" percent="0" rank="0" text="" dxfId="0">
      <formula>"Documented"</formula>
    </cfRule>
    <cfRule type="cellIs" priority="10" operator="equal" aboveAverage="0" equalAverage="0" bottom="0" percent="0" rank="0" text="" dxfId="13">
      <formula>"Validated"</formula>
    </cfRule>
    <cfRule type="cellIs" priority="11" operator="equal" aboveAverage="0" equalAverage="0" bottom="0" percent="0" rank="0" text="" dxfId="2">
      <formula>"Needs Update"</formula>
    </cfRule>
  </conditionalFormatting>
  <conditionalFormatting sqref="AC3:AC502">
    <cfRule type="cellIs" priority="12" operator="equal" aboveAverage="0" equalAverage="0" bottom="0" percent="0" rank="0" text="" dxfId="0">
      <formula>"High"</formula>
    </cfRule>
    <cfRule type="cellIs" priority="13" operator="equal" aboveAverage="0" equalAverage="0" bottom="0" percent="0" rank="0" text="" dxfId="1">
      <formula>"Medium"</formula>
    </cfRule>
    <cfRule type="cellIs" priority="14" operator="equal" aboveAverage="0" equalAverage="0" bottom="0" percent="0" rank="0" text="" dxfId="2">
      <formula>"Low"</formula>
    </cfRule>
    <cfRule type="cellIs" priority="15" operator="equal" aboveAverage="0" equalAverage="0" bottom="0" percent="0" rank="0" text="" dxfId="3">
      <formula>"Unknown"</formula>
    </cfRule>
  </conditionalFormatting>
  <dataValidations count="5">
    <dataValidation allowBlank="true" error="Use the dropdown. Edit lists on the Reference Lists sheet." errorStyle="stop" errorTitle="Pick from list" operator="between" showDropDown="false" showErrorMessage="true" showInputMessage="false" sqref="J3:J502" type="list">
      <formula1>'Reference Lists'!$C$2:$C$4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K3:K502" type="list">
      <formula1>'Reference Lists'!$E$2:$E$6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B3:AB502" type="list">
      <formula1>'Reference Lists'!$F$2:$F$7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C3:AC502" type="list">
      <formula1>'Reference Lists'!$G$2:$G$5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E3:AE502" type="list">
      <formula1>'Reference Lists'!$H$2:$H$6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W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1"/>
    <col collapsed="false" customWidth="true" hidden="false" outlineLevel="0" max="3" min="2" style="2" width="20"/>
    <col collapsed="false" customWidth="true" hidden="false" outlineLevel="0" max="4" min="4" style="2" width="14"/>
    <col collapsed="false" customWidth="true" hidden="false" outlineLevel="0" max="5" min="5" style="2" width="24"/>
    <col collapsed="false" customWidth="true" hidden="false" outlineLevel="0" max="7" min="6" style="2" width="18"/>
    <col collapsed="false" customWidth="true" hidden="false" outlineLevel="0" max="8" min="8" style="2" width="24"/>
    <col collapsed="false" customWidth="true" hidden="false" outlineLevel="0" max="9" min="9" style="2" width="14"/>
    <col collapsed="false" customWidth="true" hidden="false" outlineLevel="0" max="11" min="10" style="2" width="10"/>
    <col collapsed="false" customWidth="true" hidden="false" outlineLevel="0" max="12" min="12" style="2" width="26"/>
    <col collapsed="false" customWidth="true" hidden="false" outlineLevel="0" max="13" min="13" style="2" width="22"/>
    <col collapsed="false" customWidth="true" hidden="false" outlineLevel="0" max="14" min="14" style="2" width="20"/>
    <col collapsed="false" customWidth="true" hidden="false" outlineLevel="0" max="15" min="15" style="2" width="32"/>
    <col collapsed="false" customWidth="true" hidden="false" outlineLevel="0" max="16" min="16" style="2" width="24"/>
    <col collapsed="false" customWidth="true" hidden="false" outlineLevel="0" max="17" min="17" style="2" width="12"/>
    <col collapsed="false" customWidth="true" hidden="false" outlineLevel="0" max="18" min="18" style="2" width="17"/>
    <col collapsed="false" customWidth="true" hidden="false" outlineLevel="0" max="19" min="19" style="2" width="12"/>
    <col collapsed="false" customWidth="true" hidden="false" outlineLevel="0" max="20" min="20" style="2" width="32"/>
    <col collapsed="false" customWidth="true" hidden="false" outlineLevel="0" max="21" min="21" style="2" width="18"/>
    <col collapsed="false" customWidth="true" hidden="false" outlineLevel="0" max="22" min="22" style="20" width="13"/>
    <col collapsed="false" customWidth="true" hidden="false" outlineLevel="0" max="23" min="23" style="2" width="36"/>
  </cols>
  <sheetData>
    <row r="1" customFormat="false" ht="15" hidden="false" customHeight="false" outlineLevel="0" collapsed="false">
      <c r="A1" s="8" t="s">
        <v>413</v>
      </c>
    </row>
    <row r="2" customFormat="false" ht="42" hidden="false" customHeight="true" outlineLevel="0" collapsed="false">
      <c r="A2" s="13" t="s">
        <v>414</v>
      </c>
      <c r="B2" s="13" t="s">
        <v>415</v>
      </c>
      <c r="C2" s="13" t="s">
        <v>303</v>
      </c>
      <c r="D2" s="13" t="s">
        <v>356</v>
      </c>
      <c r="E2" s="13" t="s">
        <v>147</v>
      </c>
      <c r="F2" s="13" t="s">
        <v>149</v>
      </c>
      <c r="G2" s="13" t="s">
        <v>358</v>
      </c>
      <c r="H2" s="13" t="s">
        <v>359</v>
      </c>
      <c r="I2" s="13" t="s">
        <v>416</v>
      </c>
      <c r="J2" s="13" t="s">
        <v>361</v>
      </c>
      <c r="K2" s="13" t="s">
        <v>362</v>
      </c>
      <c r="L2" s="13" t="s">
        <v>417</v>
      </c>
      <c r="M2" s="13" t="s">
        <v>392</v>
      </c>
      <c r="N2" s="13" t="s">
        <v>318</v>
      </c>
      <c r="O2" s="13" t="s">
        <v>418</v>
      </c>
      <c r="P2" s="13" t="s">
        <v>229</v>
      </c>
      <c r="Q2" s="13" t="s">
        <v>227</v>
      </c>
      <c r="R2" s="13" t="s">
        <v>228</v>
      </c>
      <c r="S2" s="13" t="s">
        <v>166</v>
      </c>
      <c r="T2" s="13" t="s">
        <v>165</v>
      </c>
      <c r="U2" s="13" t="s">
        <v>233</v>
      </c>
      <c r="V2" s="13" t="s">
        <v>232</v>
      </c>
      <c r="W2" s="13" t="s">
        <v>236</v>
      </c>
    </row>
    <row r="3" customFormat="false" ht="35.05" hidden="false" customHeight="false" outlineLevel="0" collapsed="false">
      <c r="A3" s="21" t="s">
        <v>419</v>
      </c>
      <c r="B3" s="21" t="s">
        <v>420</v>
      </c>
      <c r="C3" s="21" t="s">
        <v>421</v>
      </c>
      <c r="D3" s="21" t="s">
        <v>422</v>
      </c>
      <c r="E3" s="21" t="s">
        <v>243</v>
      </c>
      <c r="F3" s="21"/>
      <c r="G3" s="21"/>
      <c r="H3" s="21"/>
      <c r="I3" s="21"/>
      <c r="J3" s="21" t="s">
        <v>378</v>
      </c>
      <c r="K3" s="21"/>
      <c r="L3" s="21"/>
      <c r="M3" s="21"/>
      <c r="N3" s="21"/>
      <c r="O3" s="21" t="s">
        <v>423</v>
      </c>
      <c r="P3" s="21"/>
      <c r="Q3" s="21" t="s">
        <v>248</v>
      </c>
      <c r="R3" s="21" t="s">
        <v>98</v>
      </c>
      <c r="S3" s="21" t="s">
        <v>264</v>
      </c>
      <c r="T3" s="21"/>
      <c r="U3" s="21" t="s">
        <v>259</v>
      </c>
      <c r="V3" s="21"/>
      <c r="W3" s="21" t="s">
        <v>252</v>
      </c>
    </row>
  </sheetData>
  <autoFilter ref="A2:W502"/>
  <conditionalFormatting sqref="Q3:Q502">
    <cfRule type="cellIs" priority="2" operator="equal" aboveAverage="0" equalAverage="0" bottom="0" percent="0" rank="0" text="" dxfId="12">
      <formula>"Critical"</formula>
    </cfRule>
    <cfRule type="cellIs" priority="3" operator="equal" aboveAverage="0" equalAverage="0" bottom="0" percent="0" rank="0" text="" dxfId="2">
      <formula>"High"</formula>
    </cfRule>
    <cfRule type="cellIs" priority="4" operator="equal" aboveAverage="0" equalAverage="0" bottom="0" percent="0" rank="0" text="" dxfId="1">
      <formula>"Medium"</formula>
    </cfRule>
    <cfRule type="cellIs" priority="5" operator="equal" aboveAverage="0" equalAverage="0" bottom="0" percent="0" rank="0" text="" dxfId="0">
      <formula>"Low"</formula>
    </cfRule>
  </conditionalFormatting>
  <conditionalFormatting sqref="R3:R502">
    <cfRule type="cellIs" priority="6" operator="equal" aboveAverage="0" equalAverage="0" bottom="0" percent="0" rank="0" text="" dxfId="3">
      <formula>"Not Started"</formula>
    </cfRule>
    <cfRule type="cellIs" priority="7" operator="equal" aboveAverage="0" equalAverage="0" bottom="0" percent="0" rank="0" text="" dxfId="1">
      <formula>"Discovered"</formula>
    </cfRule>
    <cfRule type="cellIs" priority="8" operator="equal" aboveAverage="0" equalAverage="0" bottom="0" percent="0" rank="0" text="" dxfId="1">
      <formula>"Partially Documented"</formula>
    </cfRule>
    <cfRule type="cellIs" priority="9" operator="equal" aboveAverage="0" equalAverage="0" bottom="0" percent="0" rank="0" text="" dxfId="0">
      <formula>"Documented"</formula>
    </cfRule>
    <cfRule type="cellIs" priority="10" operator="equal" aboveAverage="0" equalAverage="0" bottom="0" percent="0" rank="0" text="" dxfId="13">
      <formula>"Validated"</formula>
    </cfRule>
    <cfRule type="cellIs" priority="11" operator="equal" aboveAverage="0" equalAverage="0" bottom="0" percent="0" rank="0" text="" dxfId="2">
      <formula>"Needs Update"</formula>
    </cfRule>
  </conditionalFormatting>
  <conditionalFormatting sqref="S3:S502">
    <cfRule type="cellIs" priority="12" operator="equal" aboveAverage="0" equalAverage="0" bottom="0" percent="0" rank="0" text="" dxfId="0">
      <formula>"High"</formula>
    </cfRule>
    <cfRule type="cellIs" priority="13" operator="equal" aboveAverage="0" equalAverage="0" bottom="0" percent="0" rank="0" text="" dxfId="1">
      <formula>"Medium"</formula>
    </cfRule>
    <cfRule type="cellIs" priority="14" operator="equal" aboveAverage="0" equalAverage="0" bottom="0" percent="0" rank="0" text="" dxfId="2">
      <formula>"Low"</formula>
    </cfRule>
    <cfRule type="cellIs" priority="15" operator="equal" aboveAverage="0" equalAverage="0" bottom="0" percent="0" rank="0" text="" dxfId="3">
      <formula>"Unknown"</formula>
    </cfRule>
  </conditionalFormatting>
  <dataValidations count="6">
    <dataValidation allowBlank="true" error="Use the dropdown. Edit lists on the Reference Lists sheet." errorStyle="stop" errorTitle="Pick from list" operator="between" showDropDown="false" showErrorMessage="true" showInputMessage="false" sqref="J3:J502" type="list">
      <formula1>'Reference Lists'!$N$2:$N$4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K3:K502" type="list">
      <formula1>'Reference Lists'!$N$2:$N$4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Q3:Q502" type="list">
      <formula1>'Reference Lists'!$E$2:$E$6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R3:R502" type="list">
      <formula1>'Reference Lists'!$F$2:$F$7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S3:S502" type="list">
      <formula1>'Reference Lists'!$G$2:$G$5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U3:U502" type="list">
      <formula1>'Reference Lists'!$H$2:$H$6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N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1"/>
    <col collapsed="false" customWidth="true" hidden="false" outlineLevel="0" max="2" min="2" style="2" width="28"/>
    <col collapsed="false" customWidth="true" hidden="false" outlineLevel="0" max="3" min="3" style="2" width="24"/>
    <col collapsed="false" customWidth="true" hidden="false" outlineLevel="0" max="4" min="4" style="2" width="15"/>
    <col collapsed="false" customWidth="true" hidden="false" outlineLevel="0" max="5" min="5" style="2" width="18"/>
    <col collapsed="false" customWidth="true" hidden="false" outlineLevel="0" max="6" min="6" style="2" width="16"/>
    <col collapsed="false" customWidth="true" hidden="false" outlineLevel="0" max="7" min="7" style="2" width="10"/>
    <col collapsed="false" customWidth="true" hidden="false" outlineLevel="0" max="9" min="8" style="2" width="16"/>
    <col collapsed="false" customWidth="true" hidden="false" outlineLevel="0" max="10" min="10" style="2" width="30"/>
    <col collapsed="false" customWidth="true" hidden="false" outlineLevel="0" max="12" min="11" style="2" width="22"/>
    <col collapsed="false" customWidth="true" hidden="false" outlineLevel="0" max="13" min="13" style="2" width="26"/>
    <col collapsed="false" customWidth="true" hidden="false" outlineLevel="0" max="18" min="14" style="2" width="20"/>
    <col collapsed="false" customWidth="true" hidden="false" outlineLevel="0" max="21" min="19" style="2" width="22"/>
    <col collapsed="false" customWidth="true" hidden="false" outlineLevel="0" max="22" min="22" style="2" width="20"/>
    <col collapsed="false" customWidth="true" hidden="false" outlineLevel="0" max="23" min="23" style="2" width="22"/>
    <col collapsed="false" customWidth="true" hidden="false" outlineLevel="0" max="24" min="24" style="2" width="20"/>
    <col collapsed="false" customWidth="true" hidden="false" outlineLevel="0" max="26" min="25" style="2" width="24"/>
    <col collapsed="false" customWidth="true" hidden="false" outlineLevel="0" max="28" min="27" style="2" width="18"/>
    <col collapsed="false" customWidth="true" hidden="false" outlineLevel="0" max="30" min="29" style="2" width="24"/>
    <col collapsed="false" customWidth="true" hidden="false" outlineLevel="0" max="31" min="31" style="2" width="32"/>
    <col collapsed="false" customWidth="true" hidden="false" outlineLevel="0" max="32" min="32" style="2" width="12"/>
    <col collapsed="false" customWidth="true" hidden="false" outlineLevel="0" max="34" min="33" style="2" width="24"/>
    <col collapsed="false" customWidth="true" hidden="false" outlineLevel="0" max="35" min="35" style="2" width="17"/>
    <col collapsed="false" customWidth="true" hidden="false" outlineLevel="0" max="36" min="36" style="2" width="12"/>
    <col collapsed="false" customWidth="true" hidden="false" outlineLevel="0" max="37" min="37" style="2" width="32"/>
    <col collapsed="false" customWidth="true" hidden="false" outlineLevel="0" max="38" min="38" style="2" width="18"/>
    <col collapsed="false" customWidth="true" hidden="false" outlineLevel="0" max="39" min="39" style="20" width="13"/>
    <col collapsed="false" customWidth="true" hidden="false" outlineLevel="0" max="40" min="40" style="2" width="36"/>
  </cols>
  <sheetData>
    <row r="1" customFormat="false" ht="15" hidden="false" customHeight="false" outlineLevel="0" collapsed="false">
      <c r="A1" s="8" t="s">
        <v>424</v>
      </c>
    </row>
    <row r="2" customFormat="false" ht="51.75" hidden="false" customHeight="true" outlineLevel="0" collapsed="false">
      <c r="A2" s="13" t="s">
        <v>425</v>
      </c>
      <c r="B2" s="13" t="s">
        <v>426</v>
      </c>
      <c r="C2" s="13" t="s">
        <v>388</v>
      </c>
      <c r="D2" s="13" t="s">
        <v>427</v>
      </c>
      <c r="E2" s="13" t="s">
        <v>134</v>
      </c>
      <c r="F2" s="13" t="s">
        <v>220</v>
      </c>
      <c r="G2" s="13" t="s">
        <v>245</v>
      </c>
      <c r="H2" s="13" t="s">
        <v>222</v>
      </c>
      <c r="I2" s="13" t="s">
        <v>223</v>
      </c>
      <c r="J2" s="13" t="s">
        <v>1</v>
      </c>
      <c r="K2" s="13" t="s">
        <v>221</v>
      </c>
      <c r="L2" s="13" t="s">
        <v>428</v>
      </c>
      <c r="M2" s="13" t="s">
        <v>429</v>
      </c>
      <c r="N2" s="13" t="s">
        <v>430</v>
      </c>
      <c r="O2" s="13" t="s">
        <v>431</v>
      </c>
      <c r="P2" s="13" t="s">
        <v>432</v>
      </c>
      <c r="Q2" s="13" t="s">
        <v>433</v>
      </c>
      <c r="R2" s="13" t="s">
        <v>434</v>
      </c>
      <c r="S2" s="13" t="s">
        <v>435</v>
      </c>
      <c r="T2" s="13" t="s">
        <v>436</v>
      </c>
      <c r="U2" s="13" t="s">
        <v>437</v>
      </c>
      <c r="V2" s="13" t="s">
        <v>52</v>
      </c>
      <c r="W2" s="13" t="s">
        <v>397</v>
      </c>
      <c r="X2" s="13" t="s">
        <v>395</v>
      </c>
      <c r="Y2" s="13" t="s">
        <v>438</v>
      </c>
      <c r="Z2" s="13" t="s">
        <v>439</v>
      </c>
      <c r="AA2" s="13" t="s">
        <v>440</v>
      </c>
      <c r="AB2" s="13" t="s">
        <v>441</v>
      </c>
      <c r="AC2" s="13" t="s">
        <v>229</v>
      </c>
      <c r="AD2" s="13" t="s">
        <v>230</v>
      </c>
      <c r="AE2" s="13" t="s">
        <v>442</v>
      </c>
      <c r="AF2" s="13" t="s">
        <v>227</v>
      </c>
      <c r="AG2" s="13" t="s">
        <v>400</v>
      </c>
      <c r="AH2" s="13" t="s">
        <v>338</v>
      </c>
      <c r="AI2" s="13" t="s">
        <v>228</v>
      </c>
      <c r="AJ2" s="13" t="s">
        <v>166</v>
      </c>
      <c r="AK2" s="13" t="s">
        <v>165</v>
      </c>
      <c r="AL2" s="13" t="s">
        <v>233</v>
      </c>
      <c r="AM2" s="13" t="s">
        <v>232</v>
      </c>
      <c r="AN2" s="13" t="s">
        <v>236</v>
      </c>
    </row>
    <row r="3" customFormat="false" ht="35.05" hidden="false" customHeight="false" outlineLevel="0" collapsed="false">
      <c r="A3" s="21" t="s">
        <v>443</v>
      </c>
      <c r="B3" s="21" t="s">
        <v>257</v>
      </c>
      <c r="C3" s="21" t="s">
        <v>444</v>
      </c>
      <c r="D3" s="21" t="s">
        <v>136</v>
      </c>
      <c r="E3" s="21" t="s">
        <v>240</v>
      </c>
      <c r="F3" s="21" t="s">
        <v>241</v>
      </c>
      <c r="G3" s="21" t="s">
        <v>245</v>
      </c>
      <c r="H3" s="21"/>
      <c r="I3" s="21"/>
      <c r="J3" s="21" t="s">
        <v>445</v>
      </c>
      <c r="K3" s="21" t="s">
        <v>243</v>
      </c>
      <c r="L3" s="21" t="s">
        <v>446</v>
      </c>
      <c r="M3" s="21" t="s">
        <v>447</v>
      </c>
      <c r="N3" s="21"/>
      <c r="O3" s="21"/>
      <c r="P3" s="21" t="s">
        <v>448</v>
      </c>
      <c r="Q3" s="21" t="s">
        <v>449</v>
      </c>
      <c r="R3" s="21" t="s">
        <v>450</v>
      </c>
      <c r="S3" s="21" t="s">
        <v>408</v>
      </c>
      <c r="T3" s="21"/>
      <c r="U3" s="21"/>
      <c r="V3" s="21" t="s">
        <v>275</v>
      </c>
      <c r="W3" s="21"/>
      <c r="X3" s="21" t="s">
        <v>409</v>
      </c>
      <c r="Y3" s="21" t="s">
        <v>451</v>
      </c>
      <c r="Z3" s="21" t="s">
        <v>452</v>
      </c>
      <c r="AA3" s="21" t="s">
        <v>453</v>
      </c>
      <c r="AB3" s="21" t="s">
        <v>454</v>
      </c>
      <c r="AC3" s="21"/>
      <c r="AD3" s="21"/>
      <c r="AE3" s="21" t="s">
        <v>455</v>
      </c>
      <c r="AF3" s="21" t="s">
        <v>247</v>
      </c>
      <c r="AG3" s="21" t="s">
        <v>456</v>
      </c>
      <c r="AH3" s="21"/>
      <c r="AI3" s="21" t="s">
        <v>263</v>
      </c>
      <c r="AJ3" s="21" t="s">
        <v>264</v>
      </c>
      <c r="AK3" s="21"/>
      <c r="AL3" s="21" t="s">
        <v>266</v>
      </c>
      <c r="AM3" s="21"/>
      <c r="AN3" s="21" t="s">
        <v>252</v>
      </c>
    </row>
  </sheetData>
  <autoFilter ref="A2:AN502"/>
  <conditionalFormatting sqref="AF3:AF502">
    <cfRule type="cellIs" priority="2" operator="equal" aboveAverage="0" equalAverage="0" bottom="0" percent="0" rank="0" text="" dxfId="12">
      <formula>"Critical"</formula>
    </cfRule>
    <cfRule type="cellIs" priority="3" operator="equal" aboveAverage="0" equalAverage="0" bottom="0" percent="0" rank="0" text="" dxfId="2">
      <formula>"High"</formula>
    </cfRule>
    <cfRule type="cellIs" priority="4" operator="equal" aboveAverage="0" equalAverage="0" bottom="0" percent="0" rank="0" text="" dxfId="1">
      <formula>"Medium"</formula>
    </cfRule>
    <cfRule type="cellIs" priority="5" operator="equal" aboveAverage="0" equalAverage="0" bottom="0" percent="0" rank="0" text="" dxfId="0">
      <formula>"Low"</formula>
    </cfRule>
  </conditionalFormatting>
  <conditionalFormatting sqref="AI3:AI502">
    <cfRule type="cellIs" priority="6" operator="equal" aboveAverage="0" equalAverage="0" bottom="0" percent="0" rank="0" text="" dxfId="3">
      <formula>"Not Started"</formula>
    </cfRule>
    <cfRule type="cellIs" priority="7" operator="equal" aboveAverage="0" equalAverage="0" bottom="0" percent="0" rank="0" text="" dxfId="1">
      <formula>"Discovered"</formula>
    </cfRule>
    <cfRule type="cellIs" priority="8" operator="equal" aboveAverage="0" equalAverage="0" bottom="0" percent="0" rank="0" text="" dxfId="1">
      <formula>"Partially Documented"</formula>
    </cfRule>
    <cfRule type="cellIs" priority="9" operator="equal" aboveAverage="0" equalAverage="0" bottom="0" percent="0" rank="0" text="" dxfId="0">
      <formula>"Documented"</formula>
    </cfRule>
    <cfRule type="cellIs" priority="10" operator="equal" aboveAverage="0" equalAverage="0" bottom="0" percent="0" rank="0" text="" dxfId="13">
      <formula>"Validated"</formula>
    </cfRule>
    <cfRule type="cellIs" priority="11" operator="equal" aboveAverage="0" equalAverage="0" bottom="0" percent="0" rank="0" text="" dxfId="2">
      <formula>"Needs Update"</formula>
    </cfRule>
  </conditionalFormatting>
  <conditionalFormatting sqref="AJ3:AJ502">
    <cfRule type="cellIs" priority="12" operator="equal" aboveAverage="0" equalAverage="0" bottom="0" percent="0" rank="0" text="" dxfId="0">
      <formula>"High"</formula>
    </cfRule>
    <cfRule type="cellIs" priority="13" operator="equal" aboveAverage="0" equalAverage="0" bottom="0" percent="0" rank="0" text="" dxfId="1">
      <formula>"Medium"</formula>
    </cfRule>
    <cfRule type="cellIs" priority="14" operator="equal" aboveAverage="0" equalAverage="0" bottom="0" percent="0" rank="0" text="" dxfId="2">
      <formula>"Low"</formula>
    </cfRule>
    <cfRule type="cellIs" priority="15" operator="equal" aboveAverage="0" equalAverage="0" bottom="0" percent="0" rank="0" text="" dxfId="3">
      <formula>"Unknown"</formula>
    </cfRule>
  </conditionalFormatting>
  <dataValidations count="6">
    <dataValidation allowBlank="true" error="Use the dropdown. Edit lists on the Reference Lists sheet." errorStyle="stop" errorTitle="Pick from list" operator="between" showDropDown="false" showErrorMessage="true" showInputMessage="false" sqref="D3:D502" type="list">
      <formula1>'Reference Lists'!$Y$2:$Y$7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G3:G502" type="list">
      <formula1>'Reference Lists'!$C$2:$C$4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F3:AF502" type="list">
      <formula1>'Reference Lists'!$E$2:$E$6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I3:AI502" type="list">
      <formula1>'Reference Lists'!$F$2:$F$7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J3:AJ502" type="list">
      <formula1>'Reference Lists'!$G$2:$G$5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L3:AL502" type="list">
      <formula1>'Reference Lists'!$H$2:$H$6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1"/>
    <col collapsed="false" customWidth="true" hidden="false" outlineLevel="0" max="2" min="2" style="2" width="28"/>
    <col collapsed="false" customWidth="true" hidden="false" outlineLevel="0" max="3" min="3" style="2" width="16"/>
    <col collapsed="false" customWidth="true" hidden="false" outlineLevel="0" max="4" min="4" style="2" width="22"/>
    <col collapsed="false" customWidth="true" hidden="false" outlineLevel="0" max="5" min="5" style="2" width="18"/>
    <col collapsed="false" customWidth="true" hidden="false" outlineLevel="0" max="6" min="6" style="2" width="16"/>
    <col collapsed="false" customWidth="true" hidden="false" outlineLevel="0" max="7" min="7" style="2" width="20"/>
    <col collapsed="false" customWidth="true" hidden="false" outlineLevel="0" max="8" min="8" style="2" width="10"/>
    <col collapsed="false" customWidth="true" hidden="false" outlineLevel="0" max="9" min="9" style="2" width="24"/>
    <col collapsed="false" customWidth="true" hidden="false" outlineLevel="0" max="10" min="10" style="2" width="8"/>
    <col collapsed="false" customWidth="true" hidden="false" outlineLevel="0" max="11" min="11" style="2" width="26"/>
    <col collapsed="false" customWidth="true" hidden="false" outlineLevel="0" max="12" min="12" style="2" width="30"/>
    <col collapsed="false" customWidth="true" hidden="false" outlineLevel="0" max="14" min="13" style="2" width="22"/>
    <col collapsed="false" customWidth="true" hidden="false" outlineLevel="0" max="15" min="15" style="2" width="24"/>
    <col collapsed="false" customWidth="true" hidden="false" outlineLevel="0" max="18" min="16" style="2" width="22"/>
    <col collapsed="false" customWidth="true" hidden="false" outlineLevel="0" max="19" min="19" style="2" width="30"/>
    <col collapsed="false" customWidth="true" hidden="false" outlineLevel="0" max="20" min="20" style="2" width="26"/>
    <col collapsed="false" customWidth="true" hidden="false" outlineLevel="0" max="22" min="21" style="2" width="22"/>
    <col collapsed="false" customWidth="true" hidden="false" outlineLevel="0" max="23" min="23" style="2" width="12"/>
    <col collapsed="false" customWidth="true" hidden="false" outlineLevel="0" max="24" min="24" style="2" width="15"/>
    <col collapsed="false" customWidth="true" hidden="false" outlineLevel="0" max="26" min="25" style="2" width="24"/>
    <col collapsed="false" customWidth="true" hidden="false" outlineLevel="0" max="27" min="27" style="2" width="17"/>
    <col collapsed="false" customWidth="true" hidden="false" outlineLevel="0" max="28" min="28" style="2" width="12"/>
    <col collapsed="false" customWidth="true" hidden="false" outlineLevel="0" max="29" min="29" style="2" width="32"/>
    <col collapsed="false" customWidth="true" hidden="false" outlineLevel="0" max="30" min="30" style="2" width="18"/>
    <col collapsed="false" customWidth="true" hidden="false" outlineLevel="0" max="31" min="31" style="20" width="13"/>
    <col collapsed="false" customWidth="true" hidden="false" outlineLevel="0" max="32" min="32" style="2" width="36"/>
  </cols>
  <sheetData>
    <row r="1" customFormat="false" ht="15" hidden="false" customHeight="false" outlineLevel="0" collapsed="false">
      <c r="A1" s="8" t="s">
        <v>457</v>
      </c>
    </row>
    <row r="2" customFormat="false" ht="51.75" hidden="false" customHeight="true" outlineLevel="0" collapsed="false">
      <c r="A2" s="13" t="s">
        <v>458</v>
      </c>
      <c r="B2" s="13" t="s">
        <v>387</v>
      </c>
      <c r="C2" s="13" t="s">
        <v>459</v>
      </c>
      <c r="D2" s="13" t="s">
        <v>388</v>
      </c>
      <c r="E2" s="13" t="s">
        <v>134</v>
      </c>
      <c r="F2" s="13" t="s">
        <v>220</v>
      </c>
      <c r="G2" s="13" t="s">
        <v>132</v>
      </c>
      <c r="H2" s="13" t="s">
        <v>245</v>
      </c>
      <c r="I2" s="13" t="s">
        <v>460</v>
      </c>
      <c r="J2" s="13" t="s">
        <v>461</v>
      </c>
      <c r="K2" s="13" t="s">
        <v>462</v>
      </c>
      <c r="L2" s="13" t="s">
        <v>463</v>
      </c>
      <c r="M2" s="13" t="s">
        <v>464</v>
      </c>
      <c r="N2" s="13" t="s">
        <v>465</v>
      </c>
      <c r="O2" s="13" t="s">
        <v>466</v>
      </c>
      <c r="P2" s="13" t="s">
        <v>467</v>
      </c>
      <c r="Q2" s="13" t="s">
        <v>468</v>
      </c>
      <c r="R2" s="13" t="s">
        <v>469</v>
      </c>
      <c r="S2" s="13" t="s">
        <v>470</v>
      </c>
      <c r="T2" s="13" t="s">
        <v>471</v>
      </c>
      <c r="U2" s="13" t="s">
        <v>472</v>
      </c>
      <c r="V2" s="13" t="s">
        <v>473</v>
      </c>
      <c r="W2" s="13" t="s">
        <v>227</v>
      </c>
      <c r="X2" s="13" t="s">
        <v>226</v>
      </c>
      <c r="Y2" s="13" t="s">
        <v>400</v>
      </c>
      <c r="Z2" s="13" t="s">
        <v>338</v>
      </c>
      <c r="AA2" s="13" t="s">
        <v>228</v>
      </c>
      <c r="AB2" s="13" t="s">
        <v>166</v>
      </c>
      <c r="AC2" s="13" t="s">
        <v>165</v>
      </c>
      <c r="AD2" s="13" t="s">
        <v>233</v>
      </c>
      <c r="AE2" s="13" t="s">
        <v>232</v>
      </c>
      <c r="AF2" s="13" t="s">
        <v>236</v>
      </c>
    </row>
    <row r="3" customFormat="false" ht="35.05" hidden="false" customHeight="false" outlineLevel="0" collapsed="false">
      <c r="A3" s="21" t="s">
        <v>474</v>
      </c>
      <c r="B3" s="21" t="s">
        <v>268</v>
      </c>
      <c r="C3" s="21" t="s">
        <v>139</v>
      </c>
      <c r="D3" s="21"/>
      <c r="E3" s="21" t="s">
        <v>240</v>
      </c>
      <c r="F3" s="21" t="s">
        <v>241</v>
      </c>
      <c r="G3" s="21" t="s">
        <v>238</v>
      </c>
      <c r="H3" s="21" t="s">
        <v>245</v>
      </c>
      <c r="I3" s="21" t="s">
        <v>475</v>
      </c>
      <c r="J3" s="21" t="s">
        <v>476</v>
      </c>
      <c r="K3" s="21" t="s">
        <v>477</v>
      </c>
      <c r="L3" s="21" t="s">
        <v>478</v>
      </c>
      <c r="M3" s="21" t="s">
        <v>479</v>
      </c>
      <c r="N3" s="21" t="s">
        <v>480</v>
      </c>
      <c r="O3" s="21" t="s">
        <v>481</v>
      </c>
      <c r="P3" s="21"/>
      <c r="Q3" s="21" t="s">
        <v>238</v>
      </c>
      <c r="R3" s="21"/>
      <c r="S3" s="21" t="s">
        <v>482</v>
      </c>
      <c r="T3" s="21" t="s">
        <v>483</v>
      </c>
      <c r="U3" s="21"/>
      <c r="V3" s="21"/>
      <c r="W3" s="21" t="s">
        <v>264</v>
      </c>
      <c r="X3" s="21" t="s">
        <v>246</v>
      </c>
      <c r="Y3" s="21"/>
      <c r="Z3" s="21" t="s">
        <v>484</v>
      </c>
      <c r="AA3" s="21" t="s">
        <v>97</v>
      </c>
      <c r="AB3" s="21" t="s">
        <v>271</v>
      </c>
      <c r="AC3" s="21"/>
      <c r="AD3" s="21" t="s">
        <v>266</v>
      </c>
      <c r="AE3" s="21"/>
      <c r="AF3" s="21" t="s">
        <v>252</v>
      </c>
    </row>
  </sheetData>
  <autoFilter ref="A2:AF502"/>
  <conditionalFormatting sqref="W3:W502">
    <cfRule type="cellIs" priority="2" operator="equal" aboveAverage="0" equalAverage="0" bottom="0" percent="0" rank="0" text="" dxfId="12">
      <formula>"Critical"</formula>
    </cfRule>
    <cfRule type="cellIs" priority="3" operator="equal" aboveAverage="0" equalAverage="0" bottom="0" percent="0" rank="0" text="" dxfId="2">
      <formula>"High"</formula>
    </cfRule>
    <cfRule type="cellIs" priority="4" operator="equal" aboveAverage="0" equalAverage="0" bottom="0" percent="0" rank="0" text="" dxfId="1">
      <formula>"Medium"</formula>
    </cfRule>
    <cfRule type="cellIs" priority="5" operator="equal" aboveAverage="0" equalAverage="0" bottom="0" percent="0" rank="0" text="" dxfId="0">
      <formula>"Low"</formula>
    </cfRule>
  </conditionalFormatting>
  <conditionalFormatting sqref="AA3:AA502">
    <cfRule type="cellIs" priority="6" operator="equal" aboveAverage="0" equalAverage="0" bottom="0" percent="0" rank="0" text="" dxfId="3">
      <formula>"Not Started"</formula>
    </cfRule>
    <cfRule type="cellIs" priority="7" operator="equal" aboveAverage="0" equalAverage="0" bottom="0" percent="0" rank="0" text="" dxfId="1">
      <formula>"Discovered"</formula>
    </cfRule>
    <cfRule type="cellIs" priority="8" operator="equal" aboveAverage="0" equalAverage="0" bottom="0" percent="0" rank="0" text="" dxfId="1">
      <formula>"Partially Documented"</formula>
    </cfRule>
    <cfRule type="cellIs" priority="9" operator="equal" aboveAverage="0" equalAverage="0" bottom="0" percent="0" rank="0" text="" dxfId="0">
      <formula>"Documented"</formula>
    </cfRule>
    <cfRule type="cellIs" priority="10" operator="equal" aboveAverage="0" equalAverage="0" bottom="0" percent="0" rank="0" text="" dxfId="13">
      <formula>"Validated"</formula>
    </cfRule>
    <cfRule type="cellIs" priority="11" operator="equal" aboveAverage="0" equalAverage="0" bottom="0" percent="0" rank="0" text="" dxfId="2">
      <formula>"Needs Update"</formula>
    </cfRule>
  </conditionalFormatting>
  <conditionalFormatting sqref="AB3:AB502">
    <cfRule type="cellIs" priority="12" operator="equal" aboveAverage="0" equalAverage="0" bottom="0" percent="0" rank="0" text="" dxfId="0">
      <formula>"High"</formula>
    </cfRule>
    <cfRule type="cellIs" priority="13" operator="equal" aboveAverage="0" equalAverage="0" bottom="0" percent="0" rank="0" text="" dxfId="1">
      <formula>"Medium"</formula>
    </cfRule>
    <cfRule type="cellIs" priority="14" operator="equal" aboveAverage="0" equalAverage="0" bottom="0" percent="0" rank="0" text="" dxfId="2">
      <formula>"Low"</formula>
    </cfRule>
    <cfRule type="cellIs" priority="15" operator="equal" aboveAverage="0" equalAverage="0" bottom="0" percent="0" rank="0" text="" dxfId="3">
      <formula>"Unknown"</formula>
    </cfRule>
  </conditionalFormatting>
  <dataValidations count="7">
    <dataValidation allowBlank="true" error="Use the dropdown. Edit lists on the Reference Lists sheet." errorStyle="stop" errorTitle="Pick from list" operator="between" showDropDown="false" showErrorMessage="true" showInputMessage="false" sqref="C3:C502" type="list">
      <formula1>'Reference Lists'!$X$2:$X$13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H3:H502" type="list">
      <formula1>'Reference Lists'!$C$2:$C$4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W3:W502" type="list">
      <formula1>'Reference Lists'!$E$2:$E$6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X3:X502" type="list">
      <formula1>'Reference Lists'!$D$2:$D$5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A3:AA502" type="list">
      <formula1>'Reference Lists'!$F$2:$F$7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B3:AB502" type="list">
      <formula1>'Reference Lists'!$G$2:$G$5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D3:AD502" type="list">
      <formula1>'Reference Lists'!$H$2:$H$6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2"/>
    <col collapsed="false" customWidth="true" hidden="false" outlineLevel="0" max="2" min="2" style="2" width="26"/>
    <col collapsed="false" customWidth="true" hidden="false" outlineLevel="0" max="3" min="3" style="2" width="22"/>
    <col collapsed="false" customWidth="true" hidden="false" outlineLevel="0" max="4" min="4" style="2" width="13"/>
    <col collapsed="false" customWidth="true" hidden="false" outlineLevel="0" max="5" min="5" style="2" width="30"/>
    <col collapsed="false" customWidth="true" hidden="false" outlineLevel="0" max="6" min="6" style="2" width="20"/>
    <col collapsed="false" customWidth="true" hidden="false" outlineLevel="0" max="7" min="7" style="2" width="22"/>
    <col collapsed="false" customWidth="true" hidden="false" outlineLevel="0" max="8" min="8" style="2" width="26"/>
    <col collapsed="false" customWidth="true" hidden="false" outlineLevel="0" max="9" min="9" style="2" width="15"/>
    <col collapsed="false" customWidth="true" hidden="false" outlineLevel="0" max="10" min="10" style="2" width="18"/>
    <col collapsed="false" customWidth="true" hidden="false" outlineLevel="0" max="11" min="11" style="2" width="20"/>
    <col collapsed="false" customWidth="true" hidden="false" outlineLevel="0" max="12" min="12" style="2" width="14"/>
    <col collapsed="false" customWidth="true" hidden="false" outlineLevel="0" max="16" min="13" style="2" width="18"/>
    <col collapsed="false" customWidth="true" hidden="false" outlineLevel="0" max="17" min="17" style="2" width="14"/>
    <col collapsed="false" customWidth="true" hidden="false" outlineLevel="0" max="18" min="18" style="2" width="20"/>
    <col collapsed="false" customWidth="true" hidden="false" outlineLevel="0" max="19" min="19" style="2" width="26"/>
    <col collapsed="false" customWidth="true" hidden="false" outlineLevel="0" max="20" min="20" style="2" width="22"/>
    <col collapsed="false" customWidth="true" hidden="false" outlineLevel="0" max="21" min="21" style="2" width="18"/>
    <col collapsed="false" customWidth="true" hidden="false" outlineLevel="0" max="22" min="22" style="2" width="20"/>
    <col collapsed="false" customWidth="true" hidden="false" outlineLevel="0" max="23" min="23" style="2" width="22"/>
    <col collapsed="false" customWidth="true" hidden="false" outlineLevel="0" max="25" min="24" style="2" width="16"/>
    <col collapsed="false" customWidth="true" hidden="false" outlineLevel="0" max="26" min="26" style="2" width="18"/>
    <col collapsed="false" customWidth="true" hidden="false" outlineLevel="0" max="27" min="27" style="2" width="10"/>
    <col collapsed="false" customWidth="true" hidden="false" outlineLevel="0" max="28" min="28" style="2" width="12"/>
    <col collapsed="false" customWidth="true" hidden="false" outlineLevel="0" max="29" min="29" style="2" width="24"/>
    <col collapsed="false" customWidth="true" hidden="false" outlineLevel="0" max="30" min="30" style="2" width="17"/>
    <col collapsed="false" customWidth="true" hidden="false" outlineLevel="0" max="31" min="31" style="2" width="12"/>
    <col collapsed="false" customWidth="true" hidden="false" outlineLevel="0" max="32" min="32" style="2" width="32"/>
    <col collapsed="false" customWidth="true" hidden="false" outlineLevel="0" max="33" min="33" style="2" width="18"/>
    <col collapsed="false" customWidth="true" hidden="false" outlineLevel="0" max="34" min="34" style="20" width="13"/>
    <col collapsed="false" customWidth="true" hidden="false" outlineLevel="0" max="35" min="35" style="2" width="36"/>
  </cols>
  <sheetData>
    <row r="1" customFormat="false" ht="15" hidden="false" customHeight="false" outlineLevel="0" collapsed="false">
      <c r="A1" s="8" t="s">
        <v>485</v>
      </c>
    </row>
    <row r="2" customFormat="false" ht="42" hidden="false" customHeight="true" outlineLevel="0" collapsed="false">
      <c r="A2" s="13" t="s">
        <v>486</v>
      </c>
      <c r="B2" s="13" t="s">
        <v>487</v>
      </c>
      <c r="C2" s="13" t="s">
        <v>488</v>
      </c>
      <c r="D2" s="13" t="s">
        <v>489</v>
      </c>
      <c r="E2" s="13" t="s">
        <v>1</v>
      </c>
      <c r="F2" s="13" t="s">
        <v>490</v>
      </c>
      <c r="G2" s="13" t="s">
        <v>491</v>
      </c>
      <c r="H2" s="13" t="s">
        <v>492</v>
      </c>
      <c r="I2" s="13" t="s">
        <v>493</v>
      </c>
      <c r="J2" s="13" t="s">
        <v>494</v>
      </c>
      <c r="K2" s="13" t="s">
        <v>495</v>
      </c>
      <c r="L2" s="13" t="s">
        <v>496</v>
      </c>
      <c r="M2" s="13" t="s">
        <v>155</v>
      </c>
      <c r="N2" s="13" t="s">
        <v>497</v>
      </c>
      <c r="O2" s="13" t="s">
        <v>156</v>
      </c>
      <c r="P2" s="13" t="s">
        <v>498</v>
      </c>
      <c r="Q2" s="13" t="s">
        <v>499</v>
      </c>
      <c r="R2" s="13" t="s">
        <v>428</v>
      </c>
      <c r="S2" s="13" t="s">
        <v>500</v>
      </c>
      <c r="T2" s="13" t="s">
        <v>501</v>
      </c>
      <c r="U2" s="13" t="s">
        <v>502</v>
      </c>
      <c r="V2" s="13" t="s">
        <v>503</v>
      </c>
      <c r="W2" s="13" t="s">
        <v>229</v>
      </c>
      <c r="X2" s="13" t="s">
        <v>222</v>
      </c>
      <c r="Y2" s="13" t="s">
        <v>223</v>
      </c>
      <c r="Z2" s="13" t="s">
        <v>504</v>
      </c>
      <c r="AA2" s="13" t="s">
        <v>245</v>
      </c>
      <c r="AB2" s="13" t="s">
        <v>227</v>
      </c>
      <c r="AC2" s="13" t="s">
        <v>400</v>
      </c>
      <c r="AD2" s="13" t="s">
        <v>228</v>
      </c>
      <c r="AE2" s="13" t="s">
        <v>166</v>
      </c>
      <c r="AF2" s="13" t="s">
        <v>165</v>
      </c>
      <c r="AG2" s="13" t="s">
        <v>233</v>
      </c>
      <c r="AH2" s="13" t="s">
        <v>232</v>
      </c>
      <c r="AI2" s="13" t="s">
        <v>236</v>
      </c>
    </row>
    <row r="3" customFormat="false" ht="35.05" hidden="false" customHeight="false" outlineLevel="0" collapsed="false">
      <c r="A3" s="21" t="s">
        <v>505</v>
      </c>
      <c r="B3" s="21" t="s">
        <v>275</v>
      </c>
      <c r="C3" s="21" t="s">
        <v>506</v>
      </c>
      <c r="D3" s="21" t="s">
        <v>507</v>
      </c>
      <c r="E3" s="21" t="s">
        <v>508</v>
      </c>
      <c r="F3" s="21" t="s">
        <v>509</v>
      </c>
      <c r="G3" s="21"/>
      <c r="H3" s="21" t="s">
        <v>510</v>
      </c>
      <c r="I3" s="21" t="s">
        <v>511</v>
      </c>
      <c r="J3" s="21" t="s">
        <v>452</v>
      </c>
      <c r="K3" s="21" t="s">
        <v>452</v>
      </c>
      <c r="L3" s="21"/>
      <c r="M3" s="21"/>
      <c r="N3" s="21"/>
      <c r="O3" s="21"/>
      <c r="P3" s="21"/>
      <c r="Q3" s="21"/>
      <c r="R3" s="21" t="s">
        <v>512</v>
      </c>
      <c r="S3" s="21" t="s">
        <v>513</v>
      </c>
      <c r="T3" s="21" t="s">
        <v>171</v>
      </c>
      <c r="U3" s="21" t="s">
        <v>514</v>
      </c>
      <c r="V3" s="21"/>
      <c r="W3" s="21"/>
      <c r="X3" s="21"/>
      <c r="Y3" s="21"/>
      <c r="Z3" s="21"/>
      <c r="AA3" s="21" t="s">
        <v>245</v>
      </c>
      <c r="AB3" s="21" t="s">
        <v>248</v>
      </c>
      <c r="AC3" s="21"/>
      <c r="AD3" s="21" t="s">
        <v>263</v>
      </c>
      <c r="AE3" s="21" t="s">
        <v>271</v>
      </c>
      <c r="AF3" s="21"/>
      <c r="AG3" s="21" t="s">
        <v>266</v>
      </c>
      <c r="AH3" s="21"/>
      <c r="AI3" s="21" t="s">
        <v>252</v>
      </c>
    </row>
  </sheetData>
  <autoFilter ref="A2:AI502"/>
  <conditionalFormatting sqref="AB3:AB502">
    <cfRule type="cellIs" priority="2" operator="equal" aboveAverage="0" equalAverage="0" bottom="0" percent="0" rank="0" text="" dxfId="12">
      <formula>"Critical"</formula>
    </cfRule>
    <cfRule type="cellIs" priority="3" operator="equal" aboveAverage="0" equalAverage="0" bottom="0" percent="0" rank="0" text="" dxfId="2">
      <formula>"High"</formula>
    </cfRule>
    <cfRule type="cellIs" priority="4" operator="equal" aboveAverage="0" equalAverage="0" bottom="0" percent="0" rank="0" text="" dxfId="1">
      <formula>"Medium"</formula>
    </cfRule>
    <cfRule type="cellIs" priority="5" operator="equal" aboveAverage="0" equalAverage="0" bottom="0" percent="0" rank="0" text="" dxfId="0">
      <formula>"Low"</formula>
    </cfRule>
  </conditionalFormatting>
  <conditionalFormatting sqref="AD3:AD502">
    <cfRule type="cellIs" priority="6" operator="equal" aboveAverage="0" equalAverage="0" bottom="0" percent="0" rank="0" text="" dxfId="3">
      <formula>"Not Started"</formula>
    </cfRule>
    <cfRule type="cellIs" priority="7" operator="equal" aboveAverage="0" equalAverage="0" bottom="0" percent="0" rank="0" text="" dxfId="1">
      <formula>"Discovered"</formula>
    </cfRule>
    <cfRule type="cellIs" priority="8" operator="equal" aboveAverage="0" equalAverage="0" bottom="0" percent="0" rank="0" text="" dxfId="1">
      <formula>"Partially Documented"</formula>
    </cfRule>
    <cfRule type="cellIs" priority="9" operator="equal" aboveAverage="0" equalAverage="0" bottom="0" percent="0" rank="0" text="" dxfId="0">
      <formula>"Documented"</formula>
    </cfRule>
    <cfRule type="cellIs" priority="10" operator="equal" aboveAverage="0" equalAverage="0" bottom="0" percent="0" rank="0" text="" dxfId="13">
      <formula>"Validated"</formula>
    </cfRule>
    <cfRule type="cellIs" priority="11" operator="equal" aboveAverage="0" equalAverage="0" bottom="0" percent="0" rank="0" text="" dxfId="2">
      <formula>"Needs Update"</formula>
    </cfRule>
  </conditionalFormatting>
  <conditionalFormatting sqref="AE3:AE502">
    <cfRule type="cellIs" priority="12" operator="equal" aboveAverage="0" equalAverage="0" bottom="0" percent="0" rank="0" text="" dxfId="0">
      <formula>"High"</formula>
    </cfRule>
    <cfRule type="cellIs" priority="13" operator="equal" aboveAverage="0" equalAverage="0" bottom="0" percent="0" rank="0" text="" dxfId="1">
      <formula>"Medium"</formula>
    </cfRule>
    <cfRule type="cellIs" priority="14" operator="equal" aboveAverage="0" equalAverage="0" bottom="0" percent="0" rank="0" text="" dxfId="2">
      <formula>"Low"</formula>
    </cfRule>
    <cfRule type="cellIs" priority="15" operator="equal" aboveAverage="0" equalAverage="0" bottom="0" percent="0" rank="0" text="" dxfId="3">
      <formula>"Unknown"</formula>
    </cfRule>
  </conditionalFormatting>
  <dataValidations count="8">
    <dataValidation allowBlank="true" error="Use the dropdown. Edit lists on the Reference Lists sheet." errorStyle="stop" errorTitle="Pick from list" operator="between" showDropDown="false" showErrorMessage="true" showInputMessage="false" sqref="D3:D502" type="list">
      <formula1>'Reference Lists'!$O$2:$O$5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F3:F502" type="list">
      <formula1>'Reference Lists'!$P$2:$P$12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I3:I502" type="list">
      <formula1>'Reference Lists'!$Q$2:$Q$8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A3:AA502" type="list">
      <formula1>'Reference Lists'!$C$2:$C$4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B3:AB502" type="list">
      <formula1>'Reference Lists'!$E$2:$E$6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D3:AD502" type="list">
      <formula1>'Reference Lists'!$F$2:$F$7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E3:AE502" type="list">
      <formula1>'Reference Lists'!$G$2:$G$5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G3:AG502" type="list">
      <formula1>'Reference Lists'!$H$2:$H$6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2"/>
    <col collapsed="false" customWidth="true" hidden="false" outlineLevel="0" max="2" min="2" style="2" width="10"/>
    <col collapsed="false" customWidth="true" hidden="false" outlineLevel="0" max="4" min="3" style="2" width="28"/>
    <col collapsed="false" customWidth="true" hidden="false" outlineLevel="0" max="5" min="5" style="2" width="18"/>
    <col collapsed="false" customWidth="true" hidden="false" outlineLevel="0" max="6" min="6" style="2" width="16"/>
    <col collapsed="false" customWidth="true" hidden="false" outlineLevel="0" max="7" min="7" style="2" width="13"/>
    <col collapsed="false" customWidth="true" hidden="false" outlineLevel="0" max="9" min="8" style="2" width="22"/>
    <col collapsed="false" customWidth="true" hidden="false" outlineLevel="0" max="10" min="10" style="2" width="28"/>
    <col collapsed="false" customWidth="true" hidden="false" outlineLevel="0" max="11" min="11" style="2" width="26"/>
    <col collapsed="false" customWidth="true" hidden="false" outlineLevel="0" max="12" min="12" style="2" width="20"/>
    <col collapsed="false" customWidth="true" hidden="false" outlineLevel="0" max="13" min="13" style="2" width="22"/>
    <col collapsed="false" customWidth="true" hidden="false" outlineLevel="0" max="14" min="14" style="2" width="32"/>
    <col collapsed="false" customWidth="true" hidden="false" outlineLevel="0" max="15" min="15" style="2" width="16"/>
    <col collapsed="false" customWidth="true" hidden="false" outlineLevel="0" max="16" min="16" style="2" width="18"/>
    <col collapsed="false" customWidth="true" hidden="false" outlineLevel="0" max="18" min="17" style="2" width="22"/>
    <col collapsed="false" customWidth="true" hidden="false" outlineLevel="0" max="19" min="19" style="2" width="28"/>
    <col collapsed="false" customWidth="true" hidden="false" outlineLevel="0" max="20" min="20" style="2" width="24"/>
    <col collapsed="false" customWidth="true" hidden="false" outlineLevel="0" max="21" min="21" style="2" width="10"/>
    <col collapsed="false" customWidth="true" hidden="false" outlineLevel="0" max="22" min="22" style="2" width="12"/>
    <col collapsed="false" customWidth="true" hidden="false" outlineLevel="0" max="23" min="23" style="2" width="17"/>
    <col collapsed="false" customWidth="true" hidden="false" outlineLevel="0" max="24" min="24" style="2" width="12"/>
    <col collapsed="false" customWidth="true" hidden="false" outlineLevel="0" max="25" min="25" style="2" width="32"/>
    <col collapsed="false" customWidth="true" hidden="false" outlineLevel="0" max="26" min="26" style="2" width="18"/>
    <col collapsed="false" customWidth="true" hidden="false" outlineLevel="0" max="27" min="27" style="20" width="13"/>
    <col collapsed="false" customWidth="true" hidden="false" outlineLevel="0" max="28" min="28" style="2" width="36"/>
  </cols>
  <sheetData>
    <row r="1" customFormat="false" ht="15" hidden="false" customHeight="false" outlineLevel="0" collapsed="false">
      <c r="A1" s="8" t="s">
        <v>515</v>
      </c>
    </row>
    <row r="2" customFormat="false" ht="51.75" hidden="false" customHeight="true" outlineLevel="0" collapsed="false">
      <c r="A2" s="13" t="s">
        <v>516</v>
      </c>
      <c r="B2" s="13" t="s">
        <v>517</v>
      </c>
      <c r="C2" s="13" t="s">
        <v>518</v>
      </c>
      <c r="D2" s="13" t="s">
        <v>1</v>
      </c>
      <c r="E2" s="13" t="s">
        <v>519</v>
      </c>
      <c r="F2" s="13" t="s">
        <v>520</v>
      </c>
      <c r="G2" s="13" t="s">
        <v>521</v>
      </c>
      <c r="H2" s="13" t="s">
        <v>522</v>
      </c>
      <c r="I2" s="13" t="s">
        <v>523</v>
      </c>
      <c r="J2" s="13" t="s">
        <v>524</v>
      </c>
      <c r="K2" s="13" t="s">
        <v>525</v>
      </c>
      <c r="L2" s="13" t="s">
        <v>526</v>
      </c>
      <c r="M2" s="13" t="s">
        <v>527</v>
      </c>
      <c r="N2" s="13" t="s">
        <v>528</v>
      </c>
      <c r="O2" s="13" t="s">
        <v>529</v>
      </c>
      <c r="P2" s="13" t="s">
        <v>530</v>
      </c>
      <c r="Q2" s="13" t="s">
        <v>531</v>
      </c>
      <c r="R2" s="13" t="s">
        <v>229</v>
      </c>
      <c r="S2" s="13" t="s">
        <v>532</v>
      </c>
      <c r="T2" s="13" t="s">
        <v>533</v>
      </c>
      <c r="U2" s="13" t="s">
        <v>245</v>
      </c>
      <c r="V2" s="13" t="s">
        <v>227</v>
      </c>
      <c r="W2" s="13" t="s">
        <v>228</v>
      </c>
      <c r="X2" s="13" t="s">
        <v>166</v>
      </c>
      <c r="Y2" s="13" t="s">
        <v>165</v>
      </c>
      <c r="Z2" s="13" t="s">
        <v>233</v>
      </c>
      <c r="AA2" s="13" t="s">
        <v>232</v>
      </c>
      <c r="AB2" s="13" t="s">
        <v>236</v>
      </c>
    </row>
    <row r="3" customFormat="false" ht="35.05" hidden="false" customHeight="false" outlineLevel="0" collapsed="false">
      <c r="A3" s="21" t="s">
        <v>534</v>
      </c>
      <c r="B3" s="21" t="s">
        <v>145</v>
      </c>
      <c r="C3" s="21" t="s">
        <v>282</v>
      </c>
      <c r="D3" s="21" t="s">
        <v>535</v>
      </c>
      <c r="E3" s="21"/>
      <c r="F3" s="21"/>
      <c r="G3" s="21"/>
      <c r="H3" s="21"/>
      <c r="I3" s="21"/>
      <c r="J3" s="21" t="s">
        <v>536</v>
      </c>
      <c r="K3" s="21"/>
      <c r="L3" s="21" t="s">
        <v>537</v>
      </c>
      <c r="M3" s="21" t="s">
        <v>240</v>
      </c>
      <c r="N3" s="21" t="s">
        <v>538</v>
      </c>
      <c r="O3" s="21"/>
      <c r="P3" s="21"/>
      <c r="Q3" s="21"/>
      <c r="R3" s="21"/>
      <c r="S3" s="21" t="s">
        <v>539</v>
      </c>
      <c r="T3" s="21"/>
      <c r="U3" s="21"/>
      <c r="V3" s="21" t="s">
        <v>264</v>
      </c>
      <c r="W3" s="21" t="s">
        <v>98</v>
      </c>
      <c r="X3" s="21" t="s">
        <v>264</v>
      </c>
      <c r="Y3" s="21"/>
      <c r="Z3" s="21" t="s">
        <v>266</v>
      </c>
      <c r="AA3" s="21"/>
      <c r="AB3" s="21" t="s">
        <v>252</v>
      </c>
    </row>
    <row r="4" customFormat="false" ht="35.05" hidden="false" customHeight="false" outlineLevel="0" collapsed="false">
      <c r="A4" s="21" t="s">
        <v>540</v>
      </c>
      <c r="B4" s="21" t="s">
        <v>144</v>
      </c>
      <c r="C4" s="21" t="s">
        <v>285</v>
      </c>
      <c r="D4" s="21"/>
      <c r="E4" s="21" t="s">
        <v>238</v>
      </c>
      <c r="F4" s="21" t="s">
        <v>541</v>
      </c>
      <c r="G4" s="21" t="s">
        <v>542</v>
      </c>
      <c r="H4" s="21"/>
      <c r="I4" s="21"/>
      <c r="J4" s="21" t="s">
        <v>282</v>
      </c>
      <c r="K4" s="21"/>
      <c r="L4" s="21"/>
      <c r="M4" s="21"/>
      <c r="N4" s="21" t="s">
        <v>543</v>
      </c>
      <c r="O4" s="21"/>
      <c r="P4" s="21"/>
      <c r="Q4" s="21"/>
      <c r="R4" s="21"/>
      <c r="S4" s="21" t="s">
        <v>544</v>
      </c>
      <c r="T4" s="21"/>
      <c r="U4" s="21"/>
      <c r="V4" s="21" t="s">
        <v>248</v>
      </c>
      <c r="W4" s="21" t="s">
        <v>98</v>
      </c>
      <c r="X4" s="21" t="s">
        <v>264</v>
      </c>
      <c r="Y4" s="21"/>
      <c r="Z4" s="21" t="s">
        <v>266</v>
      </c>
      <c r="AA4" s="21"/>
      <c r="AB4" s="21" t="s">
        <v>252</v>
      </c>
    </row>
  </sheetData>
  <autoFilter ref="A2:AB502"/>
  <conditionalFormatting sqref="V3:V502">
    <cfRule type="cellIs" priority="2" operator="equal" aboveAverage="0" equalAverage="0" bottom="0" percent="0" rank="0" text="" dxfId="12">
      <formula>"Critical"</formula>
    </cfRule>
    <cfRule type="cellIs" priority="3" operator="equal" aboveAverage="0" equalAverage="0" bottom="0" percent="0" rank="0" text="" dxfId="2">
      <formula>"High"</formula>
    </cfRule>
    <cfRule type="cellIs" priority="4" operator="equal" aboveAverage="0" equalAverage="0" bottom="0" percent="0" rank="0" text="" dxfId="1">
      <formula>"Medium"</formula>
    </cfRule>
    <cfRule type="cellIs" priority="5" operator="equal" aboveAverage="0" equalAverage="0" bottom="0" percent="0" rank="0" text="" dxfId="0">
      <formula>"Low"</formula>
    </cfRule>
  </conditionalFormatting>
  <conditionalFormatting sqref="W3:W502">
    <cfRule type="cellIs" priority="6" operator="equal" aboveAverage="0" equalAverage="0" bottom="0" percent="0" rank="0" text="" dxfId="3">
      <formula>"Not Started"</formula>
    </cfRule>
    <cfRule type="cellIs" priority="7" operator="equal" aboveAverage="0" equalAverage="0" bottom="0" percent="0" rank="0" text="" dxfId="1">
      <formula>"Discovered"</formula>
    </cfRule>
    <cfRule type="cellIs" priority="8" operator="equal" aboveAverage="0" equalAverage="0" bottom="0" percent="0" rank="0" text="" dxfId="1">
      <formula>"Partially Documented"</formula>
    </cfRule>
    <cfRule type="cellIs" priority="9" operator="equal" aboveAverage="0" equalAverage="0" bottom="0" percent="0" rank="0" text="" dxfId="0">
      <formula>"Documented"</formula>
    </cfRule>
    <cfRule type="cellIs" priority="10" operator="equal" aboveAverage="0" equalAverage="0" bottom="0" percent="0" rank="0" text="" dxfId="13">
      <formula>"Validated"</formula>
    </cfRule>
    <cfRule type="cellIs" priority="11" operator="equal" aboveAverage="0" equalAverage="0" bottom="0" percent="0" rank="0" text="" dxfId="2">
      <formula>"Needs Update"</formula>
    </cfRule>
  </conditionalFormatting>
  <conditionalFormatting sqref="X3:X502">
    <cfRule type="cellIs" priority="12" operator="equal" aboveAverage="0" equalAverage="0" bottom="0" percent="0" rank="0" text="" dxfId="0">
      <formula>"High"</formula>
    </cfRule>
    <cfRule type="cellIs" priority="13" operator="equal" aboveAverage="0" equalAverage="0" bottom="0" percent="0" rank="0" text="" dxfId="1">
      <formula>"Medium"</formula>
    </cfRule>
    <cfRule type="cellIs" priority="14" operator="equal" aboveAverage="0" equalAverage="0" bottom="0" percent="0" rank="0" text="" dxfId="2">
      <formula>"Low"</formula>
    </cfRule>
    <cfRule type="cellIs" priority="15" operator="equal" aboveAverage="0" equalAverage="0" bottom="0" percent="0" rank="0" text="" dxfId="3">
      <formula>"Unknown"</formula>
    </cfRule>
  </conditionalFormatting>
  <dataValidations count="7">
    <dataValidation allowBlank="true" error="Use the dropdown. Edit lists on the Reference Lists sheet." errorStyle="stop" errorTitle="Pick from list" operator="between" showDropDown="false" showErrorMessage="true" showInputMessage="false" sqref="B3:B502" type="list">
      <formula1>'Reference Lists'!$Z$2:$Z$4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G3:G502" type="list">
      <formula1>'Reference Lists'!$AA$2:$AA$8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U3:U502" type="list">
      <formula1>'Reference Lists'!$C$2:$C$4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V3:V502" type="list">
      <formula1>'Reference Lists'!$E$2:$E$6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W3:W502" type="list">
      <formula1>'Reference Lists'!$F$2:$F$7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X3:X502" type="list">
      <formula1>'Reference Lists'!$G$2:$G$5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Z3:Z502" type="list">
      <formula1>'Reference Lists'!$H$2:$H$6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1"/>
    <col collapsed="false" customWidth="true" hidden="false" outlineLevel="0" max="2" min="2" style="2" width="26"/>
    <col collapsed="false" customWidth="true" hidden="false" outlineLevel="0" max="3" min="3" style="2" width="30"/>
    <col collapsed="false" customWidth="true" hidden="false" outlineLevel="0" max="4" min="4" style="2" width="16"/>
    <col collapsed="false" customWidth="true" hidden="false" outlineLevel="0" max="5" min="5" style="2" width="22"/>
    <col collapsed="false" customWidth="true" hidden="false" outlineLevel="0" max="6" min="6" style="2" width="24"/>
    <col collapsed="false" customWidth="true" hidden="false" outlineLevel="0" max="7" min="7" style="2" width="40"/>
    <col collapsed="false" customWidth="true" hidden="false" outlineLevel="0" max="8" min="8" style="2" width="20"/>
    <col collapsed="false" customWidth="true" hidden="false" outlineLevel="0" max="9" min="9" style="2" width="22"/>
    <col collapsed="false" customWidth="true" hidden="false" outlineLevel="0" max="11" min="10" style="2" width="20"/>
    <col collapsed="false" customWidth="true" hidden="false" outlineLevel="0" max="13" min="12" style="2" width="22"/>
    <col collapsed="false" customWidth="true" hidden="false" outlineLevel="0" max="14" min="14" style="2" width="20"/>
    <col collapsed="false" customWidth="true" hidden="false" outlineLevel="0" max="15" min="15" style="2" width="18"/>
    <col collapsed="false" customWidth="true" hidden="false" outlineLevel="0" max="16" min="16" style="2" width="20"/>
    <col collapsed="false" customWidth="true" hidden="false" outlineLevel="0" max="17" min="17" style="2" width="18"/>
    <col collapsed="false" customWidth="true" hidden="false" outlineLevel="0" max="18" min="18" style="2" width="20"/>
    <col collapsed="false" customWidth="true" hidden="false" outlineLevel="0" max="19" min="19" style="2" width="24"/>
    <col collapsed="false" customWidth="true" hidden="false" outlineLevel="0" max="20" min="20" style="2" width="28"/>
    <col collapsed="false" customWidth="true" hidden="false" outlineLevel="0" max="21" min="21" style="2" width="24"/>
    <col collapsed="false" customWidth="true" hidden="false" outlineLevel="0" max="22" min="22" style="2" width="26"/>
    <col collapsed="false" customWidth="true" hidden="false" outlineLevel="0" max="23" min="23" style="2" width="28"/>
    <col collapsed="false" customWidth="true" hidden="false" outlineLevel="0" max="24" min="24" style="2" width="16"/>
    <col collapsed="false" customWidth="true" hidden="false" outlineLevel="0" max="26" min="25" style="2" width="12"/>
    <col collapsed="false" customWidth="true" hidden="false" outlineLevel="0" max="27" min="27" style="2" width="16"/>
    <col collapsed="false" customWidth="true" hidden="false" outlineLevel="0" max="28" min="28" style="20" width="14"/>
    <col collapsed="false" customWidth="true" hidden="false" outlineLevel="0" max="29" min="29" style="2" width="17"/>
    <col collapsed="false" customWidth="true" hidden="false" outlineLevel="0" max="30" min="30" style="2" width="12"/>
    <col collapsed="false" customWidth="true" hidden="false" outlineLevel="0" max="31" min="31" style="2" width="32"/>
    <col collapsed="false" customWidth="true" hidden="false" outlineLevel="0" max="32" min="32" style="2" width="18"/>
    <col collapsed="false" customWidth="true" hidden="false" outlineLevel="0" max="33" min="33" style="20" width="13"/>
    <col collapsed="false" customWidth="true" hidden="false" outlineLevel="0" max="34" min="34" style="2" width="36"/>
  </cols>
  <sheetData>
    <row r="1" customFormat="false" ht="15" hidden="false" customHeight="false" outlineLevel="0" collapsed="false">
      <c r="A1" s="8" t="s">
        <v>545</v>
      </c>
    </row>
    <row r="2" customFormat="false" ht="48" hidden="false" customHeight="true" outlineLevel="0" collapsed="false">
      <c r="A2" s="13" t="s">
        <v>546</v>
      </c>
      <c r="B2" s="13" t="s">
        <v>547</v>
      </c>
      <c r="C2" s="13" t="s">
        <v>368</v>
      </c>
      <c r="D2" s="13" t="s">
        <v>548</v>
      </c>
      <c r="E2" s="13" t="s">
        <v>428</v>
      </c>
      <c r="F2" s="13" t="s">
        <v>549</v>
      </c>
      <c r="G2" s="13" t="s">
        <v>550</v>
      </c>
      <c r="H2" s="13" t="s">
        <v>551</v>
      </c>
      <c r="I2" s="13" t="s">
        <v>101</v>
      </c>
      <c r="J2" s="13" t="s">
        <v>552</v>
      </c>
      <c r="K2" s="13" t="s">
        <v>210</v>
      </c>
      <c r="L2" s="13" t="s">
        <v>212</v>
      </c>
      <c r="M2" s="13" t="s">
        <v>553</v>
      </c>
      <c r="N2" s="13" t="s">
        <v>397</v>
      </c>
      <c r="O2" s="13" t="s">
        <v>395</v>
      </c>
      <c r="P2" s="13" t="s">
        <v>52</v>
      </c>
      <c r="Q2" s="13" t="s">
        <v>554</v>
      </c>
      <c r="R2" s="13" t="s">
        <v>555</v>
      </c>
      <c r="S2" s="13" t="s">
        <v>556</v>
      </c>
      <c r="T2" s="13" t="s">
        <v>557</v>
      </c>
      <c r="U2" s="13" t="s">
        <v>558</v>
      </c>
      <c r="V2" s="13" t="s">
        <v>559</v>
      </c>
      <c r="W2" s="13" t="s">
        <v>560</v>
      </c>
      <c r="X2" s="13" t="s">
        <v>561</v>
      </c>
      <c r="Y2" s="13" t="s">
        <v>227</v>
      </c>
      <c r="Z2" s="13" t="s">
        <v>562</v>
      </c>
      <c r="AA2" s="13" t="s">
        <v>563</v>
      </c>
      <c r="AB2" s="13" t="s">
        <v>564</v>
      </c>
      <c r="AC2" s="13" t="s">
        <v>228</v>
      </c>
      <c r="AD2" s="13" t="s">
        <v>166</v>
      </c>
      <c r="AE2" s="13" t="s">
        <v>165</v>
      </c>
      <c r="AF2" s="13" t="s">
        <v>233</v>
      </c>
      <c r="AG2" s="13" t="s">
        <v>232</v>
      </c>
      <c r="AH2" s="13" t="s">
        <v>236</v>
      </c>
    </row>
    <row r="3" customFormat="false" ht="35.05" hidden="false" customHeight="false" outlineLevel="0" collapsed="false">
      <c r="A3" s="21" t="s">
        <v>565</v>
      </c>
      <c r="B3" s="21" t="s">
        <v>243</v>
      </c>
      <c r="C3" s="21" t="s">
        <v>566</v>
      </c>
      <c r="D3" s="21" t="s">
        <v>567</v>
      </c>
      <c r="E3" s="21" t="s">
        <v>568</v>
      </c>
      <c r="F3" s="21" t="s">
        <v>569</v>
      </c>
      <c r="G3" s="21" t="s">
        <v>570</v>
      </c>
      <c r="H3" s="21" t="s">
        <v>240</v>
      </c>
      <c r="I3" s="21" t="s">
        <v>571</v>
      </c>
      <c r="J3" s="21"/>
      <c r="K3" s="21" t="s">
        <v>254</v>
      </c>
      <c r="L3" s="21" t="s">
        <v>257</v>
      </c>
      <c r="M3" s="21" t="s">
        <v>268</v>
      </c>
      <c r="N3" s="21"/>
      <c r="O3" s="21" t="s">
        <v>409</v>
      </c>
      <c r="P3" s="21" t="s">
        <v>275</v>
      </c>
      <c r="Q3" s="21"/>
      <c r="R3" s="21"/>
      <c r="S3" s="21" t="s">
        <v>572</v>
      </c>
      <c r="T3" s="21" t="s">
        <v>573</v>
      </c>
      <c r="U3" s="21"/>
      <c r="V3" s="21"/>
      <c r="W3" s="21" t="s">
        <v>574</v>
      </c>
      <c r="X3" s="21"/>
      <c r="Y3" s="21" t="s">
        <v>248</v>
      </c>
      <c r="Z3" s="21" t="s">
        <v>248</v>
      </c>
      <c r="AA3" s="21"/>
      <c r="AB3" s="21"/>
      <c r="AC3" s="21" t="s">
        <v>263</v>
      </c>
      <c r="AD3" s="21" t="s">
        <v>264</v>
      </c>
      <c r="AE3" s="21"/>
      <c r="AF3" s="21" t="s">
        <v>259</v>
      </c>
      <c r="AG3" s="21"/>
      <c r="AH3" s="21" t="s">
        <v>252</v>
      </c>
    </row>
  </sheetData>
  <autoFilter ref="A2:AH502"/>
  <conditionalFormatting sqref="Y3:Y502">
    <cfRule type="cellIs" priority="2" operator="equal" aboveAverage="0" equalAverage="0" bottom="0" percent="0" rank="0" text="" dxfId="12">
      <formula>"Critical"</formula>
    </cfRule>
    <cfRule type="cellIs" priority="3" operator="equal" aboveAverage="0" equalAverage="0" bottom="0" percent="0" rank="0" text="" dxfId="2">
      <formula>"High"</formula>
    </cfRule>
    <cfRule type="cellIs" priority="4" operator="equal" aboveAverage="0" equalAverage="0" bottom="0" percent="0" rank="0" text="" dxfId="1">
      <formula>"Medium"</formula>
    </cfRule>
    <cfRule type="cellIs" priority="5" operator="equal" aboveAverage="0" equalAverage="0" bottom="0" percent="0" rank="0" text="" dxfId="0">
      <formula>"Low"</formula>
    </cfRule>
  </conditionalFormatting>
  <conditionalFormatting sqref="Z3:Z502">
    <cfRule type="cellIs" priority="6" operator="equal" aboveAverage="0" equalAverage="0" bottom="0" percent="0" rank="0" text="" dxfId="12">
      <formula>"Critical"</formula>
    </cfRule>
    <cfRule type="cellIs" priority="7" operator="equal" aboveAverage="0" equalAverage="0" bottom="0" percent="0" rank="0" text="" dxfId="2">
      <formula>"High"</formula>
    </cfRule>
    <cfRule type="cellIs" priority="8" operator="equal" aboveAverage="0" equalAverage="0" bottom="0" percent="0" rank="0" text="" dxfId="1">
      <formula>"Medium"</formula>
    </cfRule>
    <cfRule type="cellIs" priority="9" operator="equal" aboveAverage="0" equalAverage="0" bottom="0" percent="0" rank="0" text="" dxfId="0">
      <formula>"Low"</formula>
    </cfRule>
  </conditionalFormatting>
  <conditionalFormatting sqref="AC3:AC502">
    <cfRule type="cellIs" priority="10" operator="equal" aboveAverage="0" equalAverage="0" bottom="0" percent="0" rank="0" text="" dxfId="3">
      <formula>"Not Started"</formula>
    </cfRule>
    <cfRule type="cellIs" priority="11" operator="equal" aboveAverage="0" equalAverage="0" bottom="0" percent="0" rank="0" text="" dxfId="1">
      <formula>"Discovered"</formula>
    </cfRule>
    <cfRule type="cellIs" priority="12" operator="equal" aboveAverage="0" equalAverage="0" bottom="0" percent="0" rank="0" text="" dxfId="1">
      <formula>"Partially Documented"</formula>
    </cfRule>
    <cfRule type="cellIs" priority="13" operator="equal" aboveAverage="0" equalAverage="0" bottom="0" percent="0" rank="0" text="" dxfId="0">
      <formula>"Documented"</formula>
    </cfRule>
    <cfRule type="cellIs" priority="14" operator="equal" aboveAverage="0" equalAverage="0" bottom="0" percent="0" rank="0" text="" dxfId="13">
      <formula>"Validated"</formula>
    </cfRule>
    <cfRule type="cellIs" priority="15" operator="equal" aboveAverage="0" equalAverage="0" bottom="0" percent="0" rank="0" text="" dxfId="2">
      <formula>"Needs Update"</formula>
    </cfRule>
  </conditionalFormatting>
  <conditionalFormatting sqref="AD3:AD502">
    <cfRule type="cellIs" priority="16" operator="equal" aboveAverage="0" equalAverage="0" bottom="0" percent="0" rank="0" text="" dxfId="0">
      <formula>"High"</formula>
    </cfRule>
    <cfRule type="cellIs" priority="17" operator="equal" aboveAverage="0" equalAverage="0" bottom="0" percent="0" rank="0" text="" dxfId="1">
      <formula>"Medium"</formula>
    </cfRule>
    <cfRule type="cellIs" priority="18" operator="equal" aboveAverage="0" equalAverage="0" bottom="0" percent="0" rank="0" text="" dxfId="2">
      <formula>"Low"</formula>
    </cfRule>
    <cfRule type="cellIs" priority="19" operator="equal" aboveAverage="0" equalAverage="0" bottom="0" percent="0" rank="0" text="" dxfId="3">
      <formula>"Unknown"</formula>
    </cfRule>
  </conditionalFormatting>
  <dataValidations count="5">
    <dataValidation allowBlank="true" error="Use the dropdown. Edit lists on the Reference Lists sheet." errorStyle="stop" errorTitle="Pick from list" operator="between" showDropDown="false" showErrorMessage="true" showInputMessage="false" sqref="Y3:Y502" type="list">
      <formula1>'Reference Lists'!$E$2:$E$6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Z3:Z502" type="list">
      <formula1>'Reference Lists'!$I$2:$I$5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C3:AC502" type="list">
      <formula1>'Reference Lists'!$F$2:$F$7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D3:AD502" type="list">
      <formula1>'Reference Lists'!$G$2:$G$5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AF3:AF502" type="list">
      <formula1>'Reference Lists'!$H$2:$H$6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Q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2"/>
    <col collapsed="false" customWidth="true" hidden="false" outlineLevel="0" max="2" min="2" style="2" width="14"/>
    <col collapsed="false" customWidth="true" hidden="false" outlineLevel="0" max="3" min="3" style="2" width="16"/>
    <col collapsed="false" customWidth="true" hidden="false" outlineLevel="0" max="4" min="4" style="2" width="30"/>
    <col collapsed="false" customWidth="true" hidden="false" outlineLevel="0" max="5" min="5" style="2" width="18"/>
    <col collapsed="false" customWidth="true" hidden="false" outlineLevel="0" max="6" min="6" style="2" width="14"/>
    <col collapsed="false" customWidth="true" hidden="false" outlineLevel="0" max="7" min="7" style="2" width="16"/>
    <col collapsed="false" customWidth="true" hidden="false" outlineLevel="0" max="8" min="8" style="2" width="30"/>
    <col collapsed="false" customWidth="true" hidden="false" outlineLevel="0" max="9" min="9" style="2" width="14"/>
    <col collapsed="false" customWidth="true" hidden="false" outlineLevel="0" max="10" min="10" style="2" width="12"/>
    <col collapsed="false" customWidth="true" hidden="false" outlineLevel="0" max="11" min="11" style="2" width="30"/>
    <col collapsed="false" customWidth="true" hidden="false" outlineLevel="0" max="12" min="12" style="2" width="12"/>
    <col collapsed="false" customWidth="true" hidden="false" outlineLevel="0" max="14" min="13" style="20" width="13"/>
    <col collapsed="false" customWidth="true" hidden="false" outlineLevel="0" max="15" min="15" style="2" width="30"/>
    <col collapsed="false" customWidth="true" hidden="false" outlineLevel="0" max="17" min="16" style="2" width="14"/>
  </cols>
  <sheetData>
    <row r="1" customFormat="false" ht="15" hidden="false" customHeight="false" outlineLevel="0" collapsed="false">
      <c r="A1" s="8" t="s">
        <v>575</v>
      </c>
    </row>
    <row r="2" customFormat="false" ht="42" hidden="false" customHeight="true" outlineLevel="0" collapsed="false">
      <c r="A2" s="13" t="s">
        <v>576</v>
      </c>
      <c r="B2" s="13" t="s">
        <v>577</v>
      </c>
      <c r="C2" s="13" t="s">
        <v>578</v>
      </c>
      <c r="D2" s="13" t="s">
        <v>579</v>
      </c>
      <c r="E2" s="13" t="s">
        <v>580</v>
      </c>
      <c r="F2" s="13" t="s">
        <v>581</v>
      </c>
      <c r="G2" s="13" t="s">
        <v>582</v>
      </c>
      <c r="H2" s="13" t="s">
        <v>583</v>
      </c>
      <c r="I2" s="13" t="s">
        <v>584</v>
      </c>
      <c r="J2" s="13" t="s">
        <v>227</v>
      </c>
      <c r="K2" s="13" t="s">
        <v>585</v>
      </c>
      <c r="L2" s="13" t="s">
        <v>166</v>
      </c>
      <c r="M2" s="13" t="s">
        <v>586</v>
      </c>
      <c r="N2" s="13" t="s">
        <v>167</v>
      </c>
      <c r="O2" s="13" t="s">
        <v>236</v>
      </c>
      <c r="P2" s="13" t="s">
        <v>587</v>
      </c>
      <c r="Q2" s="13" t="s">
        <v>588</v>
      </c>
    </row>
    <row r="3" customFormat="false" ht="35.05" hidden="false" customHeight="false" outlineLevel="0" collapsed="false">
      <c r="A3" s="21" t="s">
        <v>589</v>
      </c>
      <c r="B3" s="21"/>
      <c r="C3" s="21" t="s">
        <v>147</v>
      </c>
      <c r="D3" s="21" t="s">
        <v>254</v>
      </c>
      <c r="E3" s="21" t="s">
        <v>590</v>
      </c>
      <c r="F3" s="21"/>
      <c r="G3" s="21" t="s">
        <v>136</v>
      </c>
      <c r="H3" s="21" t="s">
        <v>257</v>
      </c>
      <c r="I3" s="21" t="s">
        <v>591</v>
      </c>
      <c r="J3" s="21" t="s">
        <v>248</v>
      </c>
      <c r="K3" s="21" t="s">
        <v>352</v>
      </c>
      <c r="L3" s="21" t="s">
        <v>264</v>
      </c>
      <c r="M3" s="21"/>
      <c r="N3" s="21"/>
      <c r="O3" s="21" t="s">
        <v>252</v>
      </c>
      <c r="P3" s="22" t="str">
        <f aca="false">IF(H3="","",IF(H3='Impact Check'!$B$3,COUNTIF($H$3:H3,'Impact Check'!$B$3),""))</f>
        <v/>
      </c>
      <c r="Q3" s="22" t="str">
        <f aca="false">IF(D3="","",IF(D3='Impact Check'!$B$3,COUNTIF($D$3:D3,'Impact Check'!$B$3),""))</f>
        <v/>
      </c>
    </row>
    <row r="4" customFormat="false" ht="35.05" hidden="false" customHeight="false" outlineLevel="0" collapsed="false">
      <c r="A4" s="21" t="s">
        <v>592</v>
      </c>
      <c r="B4" s="21"/>
      <c r="C4" s="21" t="s">
        <v>136</v>
      </c>
      <c r="D4" s="21" t="s">
        <v>257</v>
      </c>
      <c r="E4" s="21" t="s">
        <v>593</v>
      </c>
      <c r="F4" s="21"/>
      <c r="G4" s="21" t="s">
        <v>137</v>
      </c>
      <c r="H4" s="21" t="s">
        <v>408</v>
      </c>
      <c r="I4" s="21" t="s">
        <v>591</v>
      </c>
      <c r="J4" s="21" t="s">
        <v>248</v>
      </c>
      <c r="K4" s="21" t="s">
        <v>352</v>
      </c>
      <c r="L4" s="21" t="s">
        <v>264</v>
      </c>
      <c r="M4" s="21"/>
      <c r="N4" s="21"/>
      <c r="O4" s="21" t="s">
        <v>252</v>
      </c>
      <c r="P4" s="22" t="str">
        <f aca="false">IF(H4="","",IF(H4='Impact Check'!$B$3,COUNTIF($H$3:H4,'Impact Check'!$B$3),""))</f>
        <v/>
      </c>
      <c r="Q4" s="22" t="str">
        <f aca="false">IF(D4="","",IF(D4='Impact Check'!$B$3,COUNTIF($D$3:D4,'Impact Check'!$B$3),""))</f>
        <v/>
      </c>
    </row>
    <row r="5" customFormat="false" ht="35.05" hidden="false" customHeight="false" outlineLevel="0" collapsed="false">
      <c r="A5" s="21" t="s">
        <v>594</v>
      </c>
      <c r="B5" s="21"/>
      <c r="C5" s="21" t="s">
        <v>136</v>
      </c>
      <c r="D5" s="21" t="s">
        <v>257</v>
      </c>
      <c r="E5" s="21" t="s">
        <v>595</v>
      </c>
      <c r="F5" s="21"/>
      <c r="G5" s="21" t="s">
        <v>132</v>
      </c>
      <c r="H5" s="21" t="s">
        <v>238</v>
      </c>
      <c r="I5" s="21" t="s">
        <v>596</v>
      </c>
      <c r="J5" s="21" t="s">
        <v>247</v>
      </c>
      <c r="K5" s="21" t="s">
        <v>352</v>
      </c>
      <c r="L5" s="21" t="s">
        <v>264</v>
      </c>
      <c r="M5" s="21"/>
      <c r="N5" s="21"/>
      <c r="O5" s="21" t="s">
        <v>252</v>
      </c>
      <c r="P5" s="22" t="n">
        <f aca="false">IF(H5="","",IF(H5='Impact Check'!$B$3,COUNTIF($H$3:H5,'Impact Check'!$B$3),""))</f>
        <v>1</v>
      </c>
      <c r="Q5" s="22" t="str">
        <f aca="false">IF(D5="","",IF(D5='Impact Check'!$B$3,COUNTIF($D$3:D5,'Impact Check'!$B$3),""))</f>
        <v/>
      </c>
    </row>
    <row r="6" customFormat="false" ht="35.05" hidden="false" customHeight="false" outlineLevel="0" collapsed="false">
      <c r="A6" s="21" t="s">
        <v>597</v>
      </c>
      <c r="B6" s="21"/>
      <c r="C6" s="21" t="s">
        <v>136</v>
      </c>
      <c r="D6" s="21" t="s">
        <v>257</v>
      </c>
      <c r="E6" s="21" t="s">
        <v>593</v>
      </c>
      <c r="F6" s="21"/>
      <c r="G6" s="21" t="s">
        <v>153</v>
      </c>
      <c r="H6" s="21" t="s">
        <v>275</v>
      </c>
      <c r="I6" s="21" t="s">
        <v>153</v>
      </c>
      <c r="J6" s="21" t="s">
        <v>248</v>
      </c>
      <c r="K6" s="21" t="s">
        <v>352</v>
      </c>
      <c r="L6" s="21" t="s">
        <v>271</v>
      </c>
      <c r="M6" s="21"/>
      <c r="N6" s="21"/>
      <c r="O6" s="21" t="s">
        <v>252</v>
      </c>
      <c r="P6" s="22" t="str">
        <f aca="false">IF(H6="","",IF(H6='Impact Check'!$B$3,COUNTIF($H$3:H6,'Impact Check'!$B$3),""))</f>
        <v/>
      </c>
      <c r="Q6" s="22" t="str">
        <f aca="false">IF(D6="","",IF(D6='Impact Check'!$B$3,COUNTIF($D$3:D6,'Impact Check'!$B$3),""))</f>
        <v/>
      </c>
    </row>
    <row r="7" customFormat="false" ht="35.05" hidden="false" customHeight="false" outlineLevel="0" collapsed="false">
      <c r="A7" s="21" t="s">
        <v>598</v>
      </c>
      <c r="B7" s="21"/>
      <c r="C7" s="21" t="s">
        <v>139</v>
      </c>
      <c r="D7" s="21" t="s">
        <v>268</v>
      </c>
      <c r="E7" s="21" t="s">
        <v>599</v>
      </c>
      <c r="F7" s="21"/>
      <c r="G7" s="21" t="s">
        <v>132</v>
      </c>
      <c r="H7" s="21" t="s">
        <v>238</v>
      </c>
      <c r="I7" s="21" t="s">
        <v>600</v>
      </c>
      <c r="J7" s="21" t="s">
        <v>264</v>
      </c>
      <c r="K7" s="21" t="s">
        <v>352</v>
      </c>
      <c r="L7" s="21" t="s">
        <v>264</v>
      </c>
      <c r="M7" s="21"/>
      <c r="N7" s="21"/>
      <c r="O7" s="21" t="s">
        <v>252</v>
      </c>
      <c r="P7" s="22" t="n">
        <f aca="false">IF(H7="","",IF(H7='Impact Check'!$B$3,COUNTIF($H$3:H7,'Impact Check'!$B$3),""))</f>
        <v>2</v>
      </c>
      <c r="Q7" s="22" t="str">
        <f aca="false">IF(D7="","",IF(D7='Impact Check'!$B$3,COUNTIF($D$3:D7,'Impact Check'!$B$3),""))</f>
        <v/>
      </c>
    </row>
    <row r="8" customFormat="false" ht="35.05" hidden="false" customHeight="false" outlineLevel="0" collapsed="false">
      <c r="A8" s="21" t="s">
        <v>601</v>
      </c>
      <c r="B8" s="21"/>
      <c r="C8" s="21" t="s">
        <v>139</v>
      </c>
      <c r="D8" s="21" t="s">
        <v>268</v>
      </c>
      <c r="E8" s="21" t="s">
        <v>593</v>
      </c>
      <c r="F8" s="21"/>
      <c r="G8" s="21" t="s">
        <v>143</v>
      </c>
      <c r="H8" s="21" t="s">
        <v>272</v>
      </c>
      <c r="I8" s="21" t="s">
        <v>600</v>
      </c>
      <c r="J8" s="21" t="s">
        <v>264</v>
      </c>
      <c r="K8" s="21" t="s">
        <v>352</v>
      </c>
      <c r="L8" s="21" t="s">
        <v>264</v>
      </c>
      <c r="M8" s="21"/>
      <c r="N8" s="21"/>
      <c r="O8" s="21" t="s">
        <v>252</v>
      </c>
      <c r="P8" s="22" t="str">
        <f aca="false">IF(H8="","",IF(H8='Impact Check'!$B$3,COUNTIF($H$3:H8,'Impact Check'!$B$3),""))</f>
        <v/>
      </c>
      <c r="Q8" s="22" t="str">
        <f aca="false">IF(D8="","",IF(D8='Impact Check'!$B$3,COUNTIF($D$3:D8,'Impact Check'!$B$3),""))</f>
        <v/>
      </c>
    </row>
    <row r="9" customFormat="false" ht="35.05" hidden="false" customHeight="false" outlineLevel="0" collapsed="false">
      <c r="A9" s="21" t="s">
        <v>602</v>
      </c>
      <c r="B9" s="21"/>
      <c r="C9" s="21" t="s">
        <v>144</v>
      </c>
      <c r="D9" s="21" t="s">
        <v>285</v>
      </c>
      <c r="E9" s="21" t="s">
        <v>603</v>
      </c>
      <c r="F9" s="21"/>
      <c r="G9" s="21" t="s">
        <v>132</v>
      </c>
      <c r="H9" s="21" t="s">
        <v>238</v>
      </c>
      <c r="I9" s="21" t="s">
        <v>54</v>
      </c>
      <c r="J9" s="21" t="s">
        <v>248</v>
      </c>
      <c r="K9" s="21" t="s">
        <v>352</v>
      </c>
      <c r="L9" s="21" t="s">
        <v>264</v>
      </c>
      <c r="M9" s="21"/>
      <c r="N9" s="21"/>
      <c r="O9" s="21" t="s">
        <v>252</v>
      </c>
      <c r="P9" s="22" t="n">
        <f aca="false">IF(H9="","",IF(H9='Impact Check'!$B$3,COUNTIF($H$3:H9,'Impact Check'!$B$3),""))</f>
        <v>3</v>
      </c>
      <c r="Q9" s="22" t="str">
        <f aca="false">IF(D9="","",IF(D9='Impact Check'!$B$3,COUNTIF($D$3:D9,'Impact Check'!$B$3),""))</f>
        <v/>
      </c>
    </row>
    <row r="10" customFormat="false" ht="35.05" hidden="false" customHeight="false" outlineLevel="0" collapsed="false">
      <c r="A10" s="21" t="s">
        <v>604</v>
      </c>
      <c r="B10" s="21"/>
      <c r="C10" s="21" t="s">
        <v>144</v>
      </c>
      <c r="D10" s="21" t="s">
        <v>285</v>
      </c>
      <c r="E10" s="21" t="s">
        <v>605</v>
      </c>
      <c r="F10" s="21"/>
      <c r="G10" s="21" t="s">
        <v>145</v>
      </c>
      <c r="H10" s="21" t="s">
        <v>282</v>
      </c>
      <c r="I10" s="21" t="s">
        <v>54</v>
      </c>
      <c r="J10" s="21" t="s">
        <v>248</v>
      </c>
      <c r="K10" s="21" t="s">
        <v>352</v>
      </c>
      <c r="L10" s="21" t="s">
        <v>264</v>
      </c>
      <c r="M10" s="21"/>
      <c r="N10" s="21"/>
      <c r="O10" s="21" t="s">
        <v>252</v>
      </c>
      <c r="P10" s="22" t="str">
        <f aca="false">IF(H10="","",IF(H10='Impact Check'!$B$3,COUNTIF($H$3:H10,'Impact Check'!$B$3),""))</f>
        <v/>
      </c>
      <c r="Q10" s="22" t="str">
        <f aca="false">IF(D10="","",IF(D10='Impact Check'!$B$3,COUNTIF($D$3:D10,'Impact Check'!$B$3),""))</f>
        <v/>
      </c>
    </row>
    <row r="11" customFormat="false" ht="35.05" hidden="false" customHeight="false" outlineLevel="0" collapsed="false">
      <c r="A11" s="21" t="s">
        <v>606</v>
      </c>
      <c r="B11" s="21"/>
      <c r="C11" s="21" t="s">
        <v>157</v>
      </c>
      <c r="D11" s="21" t="s">
        <v>607</v>
      </c>
      <c r="E11" s="21" t="s">
        <v>608</v>
      </c>
      <c r="F11" s="21"/>
      <c r="G11" s="21" t="s">
        <v>132</v>
      </c>
      <c r="H11" s="21" t="s">
        <v>238</v>
      </c>
      <c r="I11" s="21" t="s">
        <v>609</v>
      </c>
      <c r="J11" s="21" t="s">
        <v>271</v>
      </c>
      <c r="K11" s="21" t="s">
        <v>352</v>
      </c>
      <c r="L11" s="21" t="s">
        <v>271</v>
      </c>
      <c r="M11" s="21"/>
      <c r="N11" s="21"/>
      <c r="O11" s="21" t="s">
        <v>252</v>
      </c>
      <c r="P11" s="22" t="n">
        <f aca="false">IF(H11="","",IF(H11='Impact Check'!$B$3,COUNTIF($H$3:H11,'Impact Check'!$B$3),""))</f>
        <v>4</v>
      </c>
      <c r="Q11" s="22" t="str">
        <f aca="false">IF(D11="","",IF(D11='Impact Check'!$B$3,COUNTIF($D$3:D11,'Impact Check'!$B$3),""))</f>
        <v/>
      </c>
    </row>
    <row r="12" customFormat="false" ht="15" hidden="false" customHeight="false" outlineLevel="0" collapsed="false">
      <c r="P12" s="23" t="str">
        <f aca="false">IF(H12="","",IF(H12='Impact Check'!$B$3,COUNTIF($H$3:H12,'Impact Check'!$B$3),""))</f>
        <v/>
      </c>
      <c r="Q12" s="23" t="str">
        <f aca="false">IF(D12="","",IF(D12='Impact Check'!$B$3,COUNTIF($D$3:D12,'Impact Check'!$B$3),""))</f>
        <v/>
      </c>
    </row>
    <row r="13" customFormat="false" ht="15" hidden="false" customHeight="false" outlineLevel="0" collapsed="false">
      <c r="P13" s="23" t="str">
        <f aca="false">IF(H13="","",IF(H13='Impact Check'!$B$3,COUNTIF($H$3:H13,'Impact Check'!$B$3),""))</f>
        <v/>
      </c>
      <c r="Q13" s="23" t="str">
        <f aca="false">IF(D13="","",IF(D13='Impact Check'!$B$3,COUNTIF($D$3:D13,'Impact Check'!$B$3),""))</f>
        <v/>
      </c>
    </row>
    <row r="14" customFormat="false" ht="15" hidden="false" customHeight="false" outlineLevel="0" collapsed="false">
      <c r="P14" s="23" t="str">
        <f aca="false">IF(H14="","",IF(H14='Impact Check'!$B$3,COUNTIF($H$3:H14,'Impact Check'!$B$3),""))</f>
        <v/>
      </c>
      <c r="Q14" s="23" t="str">
        <f aca="false">IF(D14="","",IF(D14='Impact Check'!$B$3,COUNTIF($D$3:D14,'Impact Check'!$B$3),""))</f>
        <v/>
      </c>
    </row>
    <row r="15" customFormat="false" ht="15" hidden="false" customHeight="false" outlineLevel="0" collapsed="false">
      <c r="P15" s="23" t="str">
        <f aca="false">IF(H15="","",IF(H15='Impact Check'!$B$3,COUNTIF($H$3:H15,'Impact Check'!$B$3),""))</f>
        <v/>
      </c>
      <c r="Q15" s="23" t="str">
        <f aca="false">IF(D15="","",IF(D15='Impact Check'!$B$3,COUNTIF($D$3:D15,'Impact Check'!$B$3),""))</f>
        <v/>
      </c>
    </row>
    <row r="16" customFormat="false" ht="15" hidden="false" customHeight="false" outlineLevel="0" collapsed="false">
      <c r="P16" s="23" t="str">
        <f aca="false">IF(H16="","",IF(H16='Impact Check'!$B$3,COUNTIF($H$3:H16,'Impact Check'!$B$3),""))</f>
        <v/>
      </c>
      <c r="Q16" s="23" t="str">
        <f aca="false">IF(D16="","",IF(D16='Impact Check'!$B$3,COUNTIF($D$3:D16,'Impact Check'!$B$3),""))</f>
        <v/>
      </c>
    </row>
    <row r="17" customFormat="false" ht="15" hidden="false" customHeight="false" outlineLevel="0" collapsed="false">
      <c r="P17" s="23" t="str">
        <f aca="false">IF(H17="","",IF(H17='Impact Check'!$B$3,COUNTIF($H$3:H17,'Impact Check'!$B$3),""))</f>
        <v/>
      </c>
      <c r="Q17" s="23" t="str">
        <f aca="false">IF(D17="","",IF(D17='Impact Check'!$B$3,COUNTIF($D$3:D17,'Impact Check'!$B$3),""))</f>
        <v/>
      </c>
    </row>
    <row r="18" customFormat="false" ht="15" hidden="false" customHeight="false" outlineLevel="0" collapsed="false">
      <c r="P18" s="23" t="str">
        <f aca="false">IF(H18="","",IF(H18='Impact Check'!$B$3,COUNTIF($H$3:H18,'Impact Check'!$B$3),""))</f>
        <v/>
      </c>
      <c r="Q18" s="23" t="str">
        <f aca="false">IF(D18="","",IF(D18='Impact Check'!$B$3,COUNTIF($D$3:D18,'Impact Check'!$B$3),""))</f>
        <v/>
      </c>
    </row>
    <row r="19" customFormat="false" ht="15" hidden="false" customHeight="false" outlineLevel="0" collapsed="false">
      <c r="P19" s="23" t="str">
        <f aca="false">IF(H19="","",IF(H19='Impact Check'!$B$3,COUNTIF($H$3:H19,'Impact Check'!$B$3),""))</f>
        <v/>
      </c>
      <c r="Q19" s="23" t="str">
        <f aca="false">IF(D19="","",IF(D19='Impact Check'!$B$3,COUNTIF($D$3:D19,'Impact Check'!$B$3),""))</f>
        <v/>
      </c>
    </row>
    <row r="20" customFormat="false" ht="15" hidden="false" customHeight="false" outlineLevel="0" collapsed="false">
      <c r="P20" s="23" t="str">
        <f aca="false">IF(H20="","",IF(H20='Impact Check'!$B$3,COUNTIF($H$3:H20,'Impact Check'!$B$3),""))</f>
        <v/>
      </c>
      <c r="Q20" s="23" t="str">
        <f aca="false">IF(D20="","",IF(D20='Impact Check'!$B$3,COUNTIF($D$3:D20,'Impact Check'!$B$3),""))</f>
        <v/>
      </c>
    </row>
    <row r="21" customFormat="false" ht="15" hidden="false" customHeight="false" outlineLevel="0" collapsed="false">
      <c r="P21" s="23" t="str">
        <f aca="false">IF(H21="","",IF(H21='Impact Check'!$B$3,COUNTIF($H$3:H21,'Impact Check'!$B$3),""))</f>
        <v/>
      </c>
      <c r="Q21" s="23" t="str">
        <f aca="false">IF(D21="","",IF(D21='Impact Check'!$B$3,COUNTIF($D$3:D21,'Impact Check'!$B$3),""))</f>
        <v/>
      </c>
    </row>
    <row r="22" customFormat="false" ht="15" hidden="false" customHeight="false" outlineLevel="0" collapsed="false">
      <c r="P22" s="23" t="str">
        <f aca="false">IF(H22="","",IF(H22='Impact Check'!$B$3,COUNTIF($H$3:H22,'Impact Check'!$B$3),""))</f>
        <v/>
      </c>
      <c r="Q22" s="23" t="str">
        <f aca="false">IF(D22="","",IF(D22='Impact Check'!$B$3,COUNTIF($D$3:D22,'Impact Check'!$B$3),""))</f>
        <v/>
      </c>
    </row>
    <row r="23" customFormat="false" ht="15" hidden="false" customHeight="false" outlineLevel="0" collapsed="false">
      <c r="P23" s="23" t="str">
        <f aca="false">IF(H23="","",IF(H23='Impact Check'!$B$3,COUNTIF($H$3:H23,'Impact Check'!$B$3),""))</f>
        <v/>
      </c>
      <c r="Q23" s="23" t="str">
        <f aca="false">IF(D23="","",IF(D23='Impact Check'!$B$3,COUNTIF($D$3:D23,'Impact Check'!$B$3),""))</f>
        <v/>
      </c>
    </row>
    <row r="24" customFormat="false" ht="15" hidden="false" customHeight="false" outlineLevel="0" collapsed="false">
      <c r="P24" s="23" t="str">
        <f aca="false">IF(H24="","",IF(H24='Impact Check'!$B$3,COUNTIF($H$3:H24,'Impact Check'!$B$3),""))</f>
        <v/>
      </c>
      <c r="Q24" s="23" t="str">
        <f aca="false">IF(D24="","",IF(D24='Impact Check'!$B$3,COUNTIF($D$3:D24,'Impact Check'!$B$3),""))</f>
        <v/>
      </c>
    </row>
    <row r="25" customFormat="false" ht="15" hidden="false" customHeight="false" outlineLevel="0" collapsed="false">
      <c r="P25" s="23" t="str">
        <f aca="false">IF(H25="","",IF(H25='Impact Check'!$B$3,COUNTIF($H$3:H25,'Impact Check'!$B$3),""))</f>
        <v/>
      </c>
      <c r="Q25" s="23" t="str">
        <f aca="false">IF(D25="","",IF(D25='Impact Check'!$B$3,COUNTIF($D$3:D25,'Impact Check'!$B$3),""))</f>
        <v/>
      </c>
    </row>
    <row r="26" customFormat="false" ht="15" hidden="false" customHeight="false" outlineLevel="0" collapsed="false">
      <c r="P26" s="23" t="str">
        <f aca="false">IF(H26="","",IF(H26='Impact Check'!$B$3,COUNTIF($H$3:H26,'Impact Check'!$B$3),""))</f>
        <v/>
      </c>
      <c r="Q26" s="23" t="str">
        <f aca="false">IF(D26="","",IF(D26='Impact Check'!$B$3,COUNTIF($D$3:D26,'Impact Check'!$B$3),""))</f>
        <v/>
      </c>
    </row>
    <row r="27" customFormat="false" ht="15" hidden="false" customHeight="false" outlineLevel="0" collapsed="false">
      <c r="P27" s="23" t="str">
        <f aca="false">IF(H27="","",IF(H27='Impact Check'!$B$3,COUNTIF($H$3:H27,'Impact Check'!$B$3),""))</f>
        <v/>
      </c>
      <c r="Q27" s="23" t="str">
        <f aca="false">IF(D27="","",IF(D27='Impact Check'!$B$3,COUNTIF($D$3:D27,'Impact Check'!$B$3),""))</f>
        <v/>
      </c>
    </row>
    <row r="28" customFormat="false" ht="15" hidden="false" customHeight="false" outlineLevel="0" collapsed="false">
      <c r="P28" s="23" t="str">
        <f aca="false">IF(H28="","",IF(H28='Impact Check'!$B$3,COUNTIF($H$3:H28,'Impact Check'!$B$3),""))</f>
        <v/>
      </c>
      <c r="Q28" s="23" t="str">
        <f aca="false">IF(D28="","",IF(D28='Impact Check'!$B$3,COUNTIF($D$3:D28,'Impact Check'!$B$3),""))</f>
        <v/>
      </c>
    </row>
    <row r="29" customFormat="false" ht="15" hidden="false" customHeight="false" outlineLevel="0" collapsed="false">
      <c r="P29" s="23" t="str">
        <f aca="false">IF(H29="","",IF(H29='Impact Check'!$B$3,COUNTIF($H$3:H29,'Impact Check'!$B$3),""))</f>
        <v/>
      </c>
      <c r="Q29" s="23" t="str">
        <f aca="false">IF(D29="","",IF(D29='Impact Check'!$B$3,COUNTIF($D$3:D29,'Impact Check'!$B$3),""))</f>
        <v/>
      </c>
    </row>
    <row r="30" customFormat="false" ht="15" hidden="false" customHeight="false" outlineLevel="0" collapsed="false">
      <c r="P30" s="23" t="str">
        <f aca="false">IF(H30="","",IF(H30='Impact Check'!$B$3,COUNTIF($H$3:H30,'Impact Check'!$B$3),""))</f>
        <v/>
      </c>
      <c r="Q30" s="23" t="str">
        <f aca="false">IF(D30="","",IF(D30='Impact Check'!$B$3,COUNTIF($D$3:D30,'Impact Check'!$B$3),""))</f>
        <v/>
      </c>
    </row>
    <row r="31" customFormat="false" ht="15" hidden="false" customHeight="false" outlineLevel="0" collapsed="false">
      <c r="P31" s="23" t="str">
        <f aca="false">IF(H31="","",IF(H31='Impact Check'!$B$3,COUNTIF($H$3:H31,'Impact Check'!$B$3),""))</f>
        <v/>
      </c>
      <c r="Q31" s="23" t="str">
        <f aca="false">IF(D31="","",IF(D31='Impact Check'!$B$3,COUNTIF($D$3:D31,'Impact Check'!$B$3),""))</f>
        <v/>
      </c>
    </row>
    <row r="32" customFormat="false" ht="15" hidden="false" customHeight="false" outlineLevel="0" collapsed="false">
      <c r="P32" s="23" t="str">
        <f aca="false">IF(H32="","",IF(H32='Impact Check'!$B$3,COUNTIF($H$3:H32,'Impact Check'!$B$3),""))</f>
        <v/>
      </c>
      <c r="Q32" s="23" t="str">
        <f aca="false">IF(D32="","",IF(D32='Impact Check'!$B$3,COUNTIF($D$3:D32,'Impact Check'!$B$3),""))</f>
        <v/>
      </c>
    </row>
    <row r="33" customFormat="false" ht="15" hidden="false" customHeight="false" outlineLevel="0" collapsed="false">
      <c r="P33" s="23" t="str">
        <f aca="false">IF(H33="","",IF(H33='Impact Check'!$B$3,COUNTIF($H$3:H33,'Impact Check'!$B$3),""))</f>
        <v/>
      </c>
      <c r="Q33" s="23" t="str">
        <f aca="false">IF(D33="","",IF(D33='Impact Check'!$B$3,COUNTIF($D$3:D33,'Impact Check'!$B$3),""))</f>
        <v/>
      </c>
    </row>
    <row r="34" customFormat="false" ht="15" hidden="false" customHeight="false" outlineLevel="0" collapsed="false">
      <c r="P34" s="23" t="str">
        <f aca="false">IF(H34="","",IF(H34='Impact Check'!$B$3,COUNTIF($H$3:H34,'Impact Check'!$B$3),""))</f>
        <v/>
      </c>
      <c r="Q34" s="23" t="str">
        <f aca="false">IF(D34="","",IF(D34='Impact Check'!$B$3,COUNTIF($D$3:D34,'Impact Check'!$B$3),""))</f>
        <v/>
      </c>
    </row>
    <row r="35" customFormat="false" ht="15" hidden="false" customHeight="false" outlineLevel="0" collapsed="false">
      <c r="P35" s="23" t="str">
        <f aca="false">IF(H35="","",IF(H35='Impact Check'!$B$3,COUNTIF($H$3:H35,'Impact Check'!$B$3),""))</f>
        <v/>
      </c>
      <c r="Q35" s="23" t="str">
        <f aca="false">IF(D35="","",IF(D35='Impact Check'!$B$3,COUNTIF($D$3:D35,'Impact Check'!$B$3),""))</f>
        <v/>
      </c>
    </row>
    <row r="36" customFormat="false" ht="15" hidden="false" customHeight="false" outlineLevel="0" collapsed="false">
      <c r="P36" s="23" t="str">
        <f aca="false">IF(H36="","",IF(H36='Impact Check'!$B$3,COUNTIF($H$3:H36,'Impact Check'!$B$3),""))</f>
        <v/>
      </c>
      <c r="Q36" s="23" t="str">
        <f aca="false">IF(D36="","",IF(D36='Impact Check'!$B$3,COUNTIF($D$3:D36,'Impact Check'!$B$3),""))</f>
        <v/>
      </c>
    </row>
    <row r="37" customFormat="false" ht="15" hidden="false" customHeight="false" outlineLevel="0" collapsed="false">
      <c r="P37" s="23" t="str">
        <f aca="false">IF(H37="","",IF(H37='Impact Check'!$B$3,COUNTIF($H$3:H37,'Impact Check'!$B$3),""))</f>
        <v/>
      </c>
      <c r="Q37" s="23" t="str">
        <f aca="false">IF(D37="","",IF(D37='Impact Check'!$B$3,COUNTIF($D$3:D37,'Impact Check'!$B$3),""))</f>
        <v/>
      </c>
    </row>
    <row r="38" customFormat="false" ht="15" hidden="false" customHeight="false" outlineLevel="0" collapsed="false">
      <c r="P38" s="23" t="str">
        <f aca="false">IF(H38="","",IF(H38='Impact Check'!$B$3,COUNTIF($H$3:H38,'Impact Check'!$B$3),""))</f>
        <v/>
      </c>
      <c r="Q38" s="23" t="str">
        <f aca="false">IF(D38="","",IF(D38='Impact Check'!$B$3,COUNTIF($D$3:D38,'Impact Check'!$B$3),""))</f>
        <v/>
      </c>
    </row>
    <row r="39" customFormat="false" ht="15" hidden="false" customHeight="false" outlineLevel="0" collapsed="false">
      <c r="P39" s="23" t="str">
        <f aca="false">IF(H39="","",IF(H39='Impact Check'!$B$3,COUNTIF($H$3:H39,'Impact Check'!$B$3),""))</f>
        <v/>
      </c>
      <c r="Q39" s="23" t="str">
        <f aca="false">IF(D39="","",IF(D39='Impact Check'!$B$3,COUNTIF($D$3:D39,'Impact Check'!$B$3),""))</f>
        <v/>
      </c>
    </row>
    <row r="40" customFormat="false" ht="15" hidden="false" customHeight="false" outlineLevel="0" collapsed="false">
      <c r="P40" s="23" t="str">
        <f aca="false">IF(H40="","",IF(H40='Impact Check'!$B$3,COUNTIF($H$3:H40,'Impact Check'!$B$3),""))</f>
        <v/>
      </c>
      <c r="Q40" s="23" t="str">
        <f aca="false">IF(D40="","",IF(D40='Impact Check'!$B$3,COUNTIF($D$3:D40,'Impact Check'!$B$3),""))</f>
        <v/>
      </c>
    </row>
    <row r="41" customFormat="false" ht="15" hidden="false" customHeight="false" outlineLevel="0" collapsed="false">
      <c r="P41" s="23" t="str">
        <f aca="false">IF(H41="","",IF(H41='Impact Check'!$B$3,COUNTIF($H$3:H41,'Impact Check'!$B$3),""))</f>
        <v/>
      </c>
      <c r="Q41" s="23" t="str">
        <f aca="false">IF(D41="","",IF(D41='Impact Check'!$B$3,COUNTIF($D$3:D41,'Impact Check'!$B$3),""))</f>
        <v/>
      </c>
    </row>
    <row r="42" customFormat="false" ht="15" hidden="false" customHeight="false" outlineLevel="0" collapsed="false">
      <c r="P42" s="23" t="str">
        <f aca="false">IF(H42="","",IF(H42='Impact Check'!$B$3,COUNTIF($H$3:H42,'Impact Check'!$B$3),""))</f>
        <v/>
      </c>
      <c r="Q42" s="23" t="str">
        <f aca="false">IF(D42="","",IF(D42='Impact Check'!$B$3,COUNTIF($D$3:D42,'Impact Check'!$B$3),""))</f>
        <v/>
      </c>
    </row>
    <row r="43" customFormat="false" ht="15" hidden="false" customHeight="false" outlineLevel="0" collapsed="false">
      <c r="P43" s="23" t="str">
        <f aca="false">IF(H43="","",IF(H43='Impact Check'!$B$3,COUNTIF($H$3:H43,'Impact Check'!$B$3),""))</f>
        <v/>
      </c>
      <c r="Q43" s="23" t="str">
        <f aca="false">IF(D43="","",IF(D43='Impact Check'!$B$3,COUNTIF($D$3:D43,'Impact Check'!$B$3),""))</f>
        <v/>
      </c>
    </row>
    <row r="44" customFormat="false" ht="15" hidden="false" customHeight="false" outlineLevel="0" collapsed="false">
      <c r="P44" s="23" t="str">
        <f aca="false">IF(H44="","",IF(H44='Impact Check'!$B$3,COUNTIF($H$3:H44,'Impact Check'!$B$3),""))</f>
        <v/>
      </c>
      <c r="Q44" s="23" t="str">
        <f aca="false">IF(D44="","",IF(D44='Impact Check'!$B$3,COUNTIF($D$3:D44,'Impact Check'!$B$3),""))</f>
        <v/>
      </c>
    </row>
    <row r="45" customFormat="false" ht="15" hidden="false" customHeight="false" outlineLevel="0" collapsed="false">
      <c r="P45" s="23" t="str">
        <f aca="false">IF(H45="","",IF(H45='Impact Check'!$B$3,COUNTIF($H$3:H45,'Impact Check'!$B$3),""))</f>
        <v/>
      </c>
      <c r="Q45" s="23" t="str">
        <f aca="false">IF(D45="","",IF(D45='Impact Check'!$B$3,COUNTIF($D$3:D45,'Impact Check'!$B$3),""))</f>
        <v/>
      </c>
    </row>
    <row r="46" customFormat="false" ht="15" hidden="false" customHeight="false" outlineLevel="0" collapsed="false">
      <c r="P46" s="23" t="str">
        <f aca="false">IF(H46="","",IF(H46='Impact Check'!$B$3,COUNTIF($H$3:H46,'Impact Check'!$B$3),""))</f>
        <v/>
      </c>
      <c r="Q46" s="23" t="str">
        <f aca="false">IF(D46="","",IF(D46='Impact Check'!$B$3,COUNTIF($D$3:D46,'Impact Check'!$B$3),""))</f>
        <v/>
      </c>
    </row>
    <row r="47" customFormat="false" ht="15" hidden="false" customHeight="false" outlineLevel="0" collapsed="false">
      <c r="P47" s="23" t="str">
        <f aca="false">IF(H47="","",IF(H47='Impact Check'!$B$3,COUNTIF($H$3:H47,'Impact Check'!$B$3),""))</f>
        <v/>
      </c>
      <c r="Q47" s="23" t="str">
        <f aca="false">IF(D47="","",IF(D47='Impact Check'!$B$3,COUNTIF($D$3:D47,'Impact Check'!$B$3),""))</f>
        <v/>
      </c>
    </row>
    <row r="48" customFormat="false" ht="15" hidden="false" customHeight="false" outlineLevel="0" collapsed="false">
      <c r="P48" s="23" t="str">
        <f aca="false">IF(H48="","",IF(H48='Impact Check'!$B$3,COUNTIF($H$3:H48,'Impact Check'!$B$3),""))</f>
        <v/>
      </c>
      <c r="Q48" s="23" t="str">
        <f aca="false">IF(D48="","",IF(D48='Impact Check'!$B$3,COUNTIF($D$3:D48,'Impact Check'!$B$3),""))</f>
        <v/>
      </c>
    </row>
    <row r="49" customFormat="false" ht="15" hidden="false" customHeight="false" outlineLevel="0" collapsed="false">
      <c r="P49" s="23" t="str">
        <f aca="false">IF(H49="","",IF(H49='Impact Check'!$B$3,COUNTIF($H$3:H49,'Impact Check'!$B$3),""))</f>
        <v/>
      </c>
      <c r="Q49" s="23" t="str">
        <f aca="false">IF(D49="","",IF(D49='Impact Check'!$B$3,COUNTIF($D$3:D49,'Impact Check'!$B$3),""))</f>
        <v/>
      </c>
    </row>
    <row r="50" customFormat="false" ht="15" hidden="false" customHeight="false" outlineLevel="0" collapsed="false">
      <c r="P50" s="23" t="str">
        <f aca="false">IF(H50="","",IF(H50='Impact Check'!$B$3,COUNTIF($H$3:H50,'Impact Check'!$B$3),""))</f>
        <v/>
      </c>
      <c r="Q50" s="23" t="str">
        <f aca="false">IF(D50="","",IF(D50='Impact Check'!$B$3,COUNTIF($D$3:D50,'Impact Check'!$B$3),""))</f>
        <v/>
      </c>
    </row>
    <row r="51" customFormat="false" ht="15" hidden="false" customHeight="false" outlineLevel="0" collapsed="false">
      <c r="P51" s="23" t="str">
        <f aca="false">IF(H51="","",IF(H51='Impact Check'!$B$3,COUNTIF($H$3:H51,'Impact Check'!$B$3),""))</f>
        <v/>
      </c>
      <c r="Q51" s="23" t="str">
        <f aca="false">IF(D51="","",IF(D51='Impact Check'!$B$3,COUNTIF($D$3:D51,'Impact Check'!$B$3),""))</f>
        <v/>
      </c>
    </row>
    <row r="52" customFormat="false" ht="15" hidden="false" customHeight="false" outlineLevel="0" collapsed="false">
      <c r="P52" s="23" t="str">
        <f aca="false">IF(H52="","",IF(H52='Impact Check'!$B$3,COUNTIF($H$3:H52,'Impact Check'!$B$3),""))</f>
        <v/>
      </c>
      <c r="Q52" s="23" t="str">
        <f aca="false">IF(D52="","",IF(D52='Impact Check'!$B$3,COUNTIF($D$3:D52,'Impact Check'!$B$3),""))</f>
        <v/>
      </c>
    </row>
    <row r="53" customFormat="false" ht="15" hidden="false" customHeight="false" outlineLevel="0" collapsed="false">
      <c r="P53" s="23" t="str">
        <f aca="false">IF(H53="","",IF(H53='Impact Check'!$B$3,COUNTIF($H$3:H53,'Impact Check'!$B$3),""))</f>
        <v/>
      </c>
      <c r="Q53" s="23" t="str">
        <f aca="false">IF(D53="","",IF(D53='Impact Check'!$B$3,COUNTIF($D$3:D53,'Impact Check'!$B$3),""))</f>
        <v/>
      </c>
    </row>
    <row r="54" customFormat="false" ht="15" hidden="false" customHeight="false" outlineLevel="0" collapsed="false">
      <c r="P54" s="23" t="str">
        <f aca="false">IF(H54="","",IF(H54='Impact Check'!$B$3,COUNTIF($H$3:H54,'Impact Check'!$B$3),""))</f>
        <v/>
      </c>
      <c r="Q54" s="23" t="str">
        <f aca="false">IF(D54="","",IF(D54='Impact Check'!$B$3,COUNTIF($D$3:D54,'Impact Check'!$B$3),""))</f>
        <v/>
      </c>
    </row>
    <row r="55" customFormat="false" ht="15" hidden="false" customHeight="false" outlineLevel="0" collapsed="false">
      <c r="P55" s="23" t="str">
        <f aca="false">IF(H55="","",IF(H55='Impact Check'!$B$3,COUNTIF($H$3:H55,'Impact Check'!$B$3),""))</f>
        <v/>
      </c>
      <c r="Q55" s="23" t="str">
        <f aca="false">IF(D55="","",IF(D55='Impact Check'!$B$3,COUNTIF($D$3:D55,'Impact Check'!$B$3),""))</f>
        <v/>
      </c>
    </row>
    <row r="56" customFormat="false" ht="15" hidden="false" customHeight="false" outlineLevel="0" collapsed="false">
      <c r="P56" s="23" t="str">
        <f aca="false">IF(H56="","",IF(H56='Impact Check'!$B$3,COUNTIF($H$3:H56,'Impact Check'!$B$3),""))</f>
        <v/>
      </c>
      <c r="Q56" s="23" t="str">
        <f aca="false">IF(D56="","",IF(D56='Impact Check'!$B$3,COUNTIF($D$3:D56,'Impact Check'!$B$3),""))</f>
        <v/>
      </c>
    </row>
    <row r="57" customFormat="false" ht="15" hidden="false" customHeight="false" outlineLevel="0" collapsed="false">
      <c r="P57" s="23" t="str">
        <f aca="false">IF(H57="","",IF(H57='Impact Check'!$B$3,COUNTIF($H$3:H57,'Impact Check'!$B$3),""))</f>
        <v/>
      </c>
      <c r="Q57" s="23" t="str">
        <f aca="false">IF(D57="","",IF(D57='Impact Check'!$B$3,COUNTIF($D$3:D57,'Impact Check'!$B$3),""))</f>
        <v/>
      </c>
    </row>
    <row r="58" customFormat="false" ht="15" hidden="false" customHeight="false" outlineLevel="0" collapsed="false">
      <c r="P58" s="23" t="str">
        <f aca="false">IF(H58="","",IF(H58='Impact Check'!$B$3,COUNTIF($H$3:H58,'Impact Check'!$B$3),""))</f>
        <v/>
      </c>
      <c r="Q58" s="23" t="str">
        <f aca="false">IF(D58="","",IF(D58='Impact Check'!$B$3,COUNTIF($D$3:D58,'Impact Check'!$B$3),""))</f>
        <v/>
      </c>
    </row>
    <row r="59" customFormat="false" ht="15" hidden="false" customHeight="false" outlineLevel="0" collapsed="false">
      <c r="P59" s="23" t="str">
        <f aca="false">IF(H59="","",IF(H59='Impact Check'!$B$3,COUNTIF($H$3:H59,'Impact Check'!$B$3),""))</f>
        <v/>
      </c>
      <c r="Q59" s="23" t="str">
        <f aca="false">IF(D59="","",IF(D59='Impact Check'!$B$3,COUNTIF($D$3:D59,'Impact Check'!$B$3),""))</f>
        <v/>
      </c>
    </row>
    <row r="60" customFormat="false" ht="15" hidden="false" customHeight="false" outlineLevel="0" collapsed="false">
      <c r="P60" s="23" t="str">
        <f aca="false">IF(H60="","",IF(H60='Impact Check'!$B$3,COUNTIF($H$3:H60,'Impact Check'!$B$3),""))</f>
        <v/>
      </c>
      <c r="Q60" s="23" t="str">
        <f aca="false">IF(D60="","",IF(D60='Impact Check'!$B$3,COUNTIF($D$3:D60,'Impact Check'!$B$3),""))</f>
        <v/>
      </c>
    </row>
    <row r="61" customFormat="false" ht="15" hidden="false" customHeight="false" outlineLevel="0" collapsed="false">
      <c r="P61" s="23" t="str">
        <f aca="false">IF(H61="","",IF(H61='Impact Check'!$B$3,COUNTIF($H$3:H61,'Impact Check'!$B$3),""))</f>
        <v/>
      </c>
      <c r="Q61" s="23" t="str">
        <f aca="false">IF(D61="","",IF(D61='Impact Check'!$B$3,COUNTIF($D$3:D61,'Impact Check'!$B$3),""))</f>
        <v/>
      </c>
    </row>
    <row r="62" customFormat="false" ht="15" hidden="false" customHeight="false" outlineLevel="0" collapsed="false">
      <c r="P62" s="23" t="str">
        <f aca="false">IF(H62="","",IF(H62='Impact Check'!$B$3,COUNTIF($H$3:H62,'Impact Check'!$B$3),""))</f>
        <v/>
      </c>
      <c r="Q62" s="23" t="str">
        <f aca="false">IF(D62="","",IF(D62='Impact Check'!$B$3,COUNTIF($D$3:D62,'Impact Check'!$B$3),""))</f>
        <v/>
      </c>
    </row>
    <row r="63" customFormat="false" ht="15" hidden="false" customHeight="false" outlineLevel="0" collapsed="false">
      <c r="P63" s="23" t="str">
        <f aca="false">IF(H63="","",IF(H63='Impact Check'!$B$3,COUNTIF($H$3:H63,'Impact Check'!$B$3),""))</f>
        <v/>
      </c>
      <c r="Q63" s="23" t="str">
        <f aca="false">IF(D63="","",IF(D63='Impact Check'!$B$3,COUNTIF($D$3:D63,'Impact Check'!$B$3),""))</f>
        <v/>
      </c>
    </row>
    <row r="64" customFormat="false" ht="15" hidden="false" customHeight="false" outlineLevel="0" collapsed="false">
      <c r="P64" s="23" t="str">
        <f aca="false">IF(H64="","",IF(H64='Impact Check'!$B$3,COUNTIF($H$3:H64,'Impact Check'!$B$3),""))</f>
        <v/>
      </c>
      <c r="Q64" s="23" t="str">
        <f aca="false">IF(D64="","",IF(D64='Impact Check'!$B$3,COUNTIF($D$3:D64,'Impact Check'!$B$3),""))</f>
        <v/>
      </c>
    </row>
    <row r="65" customFormat="false" ht="15" hidden="false" customHeight="false" outlineLevel="0" collapsed="false">
      <c r="P65" s="23" t="str">
        <f aca="false">IF(H65="","",IF(H65='Impact Check'!$B$3,COUNTIF($H$3:H65,'Impact Check'!$B$3),""))</f>
        <v/>
      </c>
      <c r="Q65" s="23" t="str">
        <f aca="false">IF(D65="","",IF(D65='Impact Check'!$B$3,COUNTIF($D$3:D65,'Impact Check'!$B$3),""))</f>
        <v/>
      </c>
    </row>
    <row r="66" customFormat="false" ht="15" hidden="false" customHeight="false" outlineLevel="0" collapsed="false">
      <c r="P66" s="23" t="str">
        <f aca="false">IF(H66="","",IF(H66='Impact Check'!$B$3,COUNTIF($H$3:H66,'Impact Check'!$B$3),""))</f>
        <v/>
      </c>
      <c r="Q66" s="23" t="str">
        <f aca="false">IF(D66="","",IF(D66='Impact Check'!$B$3,COUNTIF($D$3:D66,'Impact Check'!$B$3),""))</f>
        <v/>
      </c>
    </row>
    <row r="67" customFormat="false" ht="15" hidden="false" customHeight="false" outlineLevel="0" collapsed="false">
      <c r="P67" s="23" t="str">
        <f aca="false">IF(H67="","",IF(H67='Impact Check'!$B$3,COUNTIF($H$3:H67,'Impact Check'!$B$3),""))</f>
        <v/>
      </c>
      <c r="Q67" s="23" t="str">
        <f aca="false">IF(D67="","",IF(D67='Impact Check'!$B$3,COUNTIF($D$3:D67,'Impact Check'!$B$3),""))</f>
        <v/>
      </c>
    </row>
    <row r="68" customFormat="false" ht="15" hidden="false" customHeight="false" outlineLevel="0" collapsed="false">
      <c r="P68" s="23" t="str">
        <f aca="false">IF(H68="","",IF(H68='Impact Check'!$B$3,COUNTIF($H$3:H68,'Impact Check'!$B$3),""))</f>
        <v/>
      </c>
      <c r="Q68" s="23" t="str">
        <f aca="false">IF(D68="","",IF(D68='Impact Check'!$B$3,COUNTIF($D$3:D68,'Impact Check'!$B$3),""))</f>
        <v/>
      </c>
    </row>
    <row r="69" customFormat="false" ht="15" hidden="false" customHeight="false" outlineLevel="0" collapsed="false">
      <c r="P69" s="23" t="str">
        <f aca="false">IF(H69="","",IF(H69='Impact Check'!$B$3,COUNTIF($H$3:H69,'Impact Check'!$B$3),""))</f>
        <v/>
      </c>
      <c r="Q69" s="23" t="str">
        <f aca="false">IF(D69="","",IF(D69='Impact Check'!$B$3,COUNTIF($D$3:D69,'Impact Check'!$B$3),""))</f>
        <v/>
      </c>
    </row>
    <row r="70" customFormat="false" ht="15" hidden="false" customHeight="false" outlineLevel="0" collapsed="false">
      <c r="P70" s="23" t="str">
        <f aca="false">IF(H70="","",IF(H70='Impact Check'!$B$3,COUNTIF($H$3:H70,'Impact Check'!$B$3),""))</f>
        <v/>
      </c>
      <c r="Q70" s="23" t="str">
        <f aca="false">IF(D70="","",IF(D70='Impact Check'!$B$3,COUNTIF($D$3:D70,'Impact Check'!$B$3),""))</f>
        <v/>
      </c>
    </row>
    <row r="71" customFormat="false" ht="15" hidden="false" customHeight="false" outlineLevel="0" collapsed="false">
      <c r="P71" s="23" t="str">
        <f aca="false">IF(H71="","",IF(H71='Impact Check'!$B$3,COUNTIF($H$3:H71,'Impact Check'!$B$3),""))</f>
        <v/>
      </c>
      <c r="Q71" s="23" t="str">
        <f aca="false">IF(D71="","",IF(D71='Impact Check'!$B$3,COUNTIF($D$3:D71,'Impact Check'!$B$3),""))</f>
        <v/>
      </c>
    </row>
    <row r="72" customFormat="false" ht="15" hidden="false" customHeight="false" outlineLevel="0" collapsed="false">
      <c r="P72" s="23" t="str">
        <f aca="false">IF(H72="","",IF(H72='Impact Check'!$B$3,COUNTIF($H$3:H72,'Impact Check'!$B$3),""))</f>
        <v/>
      </c>
      <c r="Q72" s="23" t="str">
        <f aca="false">IF(D72="","",IF(D72='Impact Check'!$B$3,COUNTIF($D$3:D72,'Impact Check'!$B$3),""))</f>
        <v/>
      </c>
    </row>
    <row r="73" customFormat="false" ht="15" hidden="false" customHeight="false" outlineLevel="0" collapsed="false">
      <c r="P73" s="23" t="str">
        <f aca="false">IF(H73="","",IF(H73='Impact Check'!$B$3,COUNTIF($H$3:H73,'Impact Check'!$B$3),""))</f>
        <v/>
      </c>
      <c r="Q73" s="23" t="str">
        <f aca="false">IF(D73="","",IF(D73='Impact Check'!$B$3,COUNTIF($D$3:D73,'Impact Check'!$B$3),""))</f>
        <v/>
      </c>
    </row>
    <row r="74" customFormat="false" ht="15" hidden="false" customHeight="false" outlineLevel="0" collapsed="false">
      <c r="P74" s="23" t="str">
        <f aca="false">IF(H74="","",IF(H74='Impact Check'!$B$3,COUNTIF($H$3:H74,'Impact Check'!$B$3),""))</f>
        <v/>
      </c>
      <c r="Q74" s="23" t="str">
        <f aca="false">IF(D74="","",IF(D74='Impact Check'!$B$3,COUNTIF($D$3:D74,'Impact Check'!$B$3),""))</f>
        <v/>
      </c>
    </row>
    <row r="75" customFormat="false" ht="15" hidden="false" customHeight="false" outlineLevel="0" collapsed="false">
      <c r="P75" s="23" t="str">
        <f aca="false">IF(H75="","",IF(H75='Impact Check'!$B$3,COUNTIF($H$3:H75,'Impact Check'!$B$3),""))</f>
        <v/>
      </c>
      <c r="Q75" s="23" t="str">
        <f aca="false">IF(D75="","",IF(D75='Impact Check'!$B$3,COUNTIF($D$3:D75,'Impact Check'!$B$3),""))</f>
        <v/>
      </c>
    </row>
    <row r="76" customFormat="false" ht="15" hidden="false" customHeight="false" outlineLevel="0" collapsed="false">
      <c r="P76" s="23" t="str">
        <f aca="false">IF(H76="","",IF(H76='Impact Check'!$B$3,COUNTIF($H$3:H76,'Impact Check'!$B$3),""))</f>
        <v/>
      </c>
      <c r="Q76" s="23" t="str">
        <f aca="false">IF(D76="","",IF(D76='Impact Check'!$B$3,COUNTIF($D$3:D76,'Impact Check'!$B$3),""))</f>
        <v/>
      </c>
    </row>
    <row r="77" customFormat="false" ht="15" hidden="false" customHeight="false" outlineLevel="0" collapsed="false">
      <c r="P77" s="23" t="str">
        <f aca="false">IF(H77="","",IF(H77='Impact Check'!$B$3,COUNTIF($H$3:H77,'Impact Check'!$B$3),""))</f>
        <v/>
      </c>
      <c r="Q77" s="23" t="str">
        <f aca="false">IF(D77="","",IF(D77='Impact Check'!$B$3,COUNTIF($D$3:D77,'Impact Check'!$B$3),""))</f>
        <v/>
      </c>
    </row>
    <row r="78" customFormat="false" ht="15" hidden="false" customHeight="false" outlineLevel="0" collapsed="false">
      <c r="P78" s="23" t="str">
        <f aca="false">IF(H78="","",IF(H78='Impact Check'!$B$3,COUNTIF($H$3:H78,'Impact Check'!$B$3),""))</f>
        <v/>
      </c>
      <c r="Q78" s="23" t="str">
        <f aca="false">IF(D78="","",IF(D78='Impact Check'!$B$3,COUNTIF($D$3:D78,'Impact Check'!$B$3),""))</f>
        <v/>
      </c>
    </row>
    <row r="79" customFormat="false" ht="15" hidden="false" customHeight="false" outlineLevel="0" collapsed="false">
      <c r="P79" s="23" t="str">
        <f aca="false">IF(H79="","",IF(H79='Impact Check'!$B$3,COUNTIF($H$3:H79,'Impact Check'!$B$3),""))</f>
        <v/>
      </c>
      <c r="Q79" s="23" t="str">
        <f aca="false">IF(D79="","",IF(D79='Impact Check'!$B$3,COUNTIF($D$3:D79,'Impact Check'!$B$3),""))</f>
        <v/>
      </c>
    </row>
    <row r="80" customFormat="false" ht="15" hidden="false" customHeight="false" outlineLevel="0" collapsed="false">
      <c r="P80" s="23" t="str">
        <f aca="false">IF(H80="","",IF(H80='Impact Check'!$B$3,COUNTIF($H$3:H80,'Impact Check'!$B$3),""))</f>
        <v/>
      </c>
      <c r="Q80" s="23" t="str">
        <f aca="false">IF(D80="","",IF(D80='Impact Check'!$B$3,COUNTIF($D$3:D80,'Impact Check'!$B$3),""))</f>
        <v/>
      </c>
    </row>
    <row r="81" customFormat="false" ht="15" hidden="false" customHeight="false" outlineLevel="0" collapsed="false">
      <c r="P81" s="23" t="str">
        <f aca="false">IF(H81="","",IF(H81='Impact Check'!$B$3,COUNTIF($H$3:H81,'Impact Check'!$B$3),""))</f>
        <v/>
      </c>
      <c r="Q81" s="23" t="str">
        <f aca="false">IF(D81="","",IF(D81='Impact Check'!$B$3,COUNTIF($D$3:D81,'Impact Check'!$B$3),""))</f>
        <v/>
      </c>
    </row>
    <row r="82" customFormat="false" ht="15" hidden="false" customHeight="false" outlineLevel="0" collapsed="false">
      <c r="P82" s="23" t="str">
        <f aca="false">IF(H82="","",IF(H82='Impact Check'!$B$3,COUNTIF($H$3:H82,'Impact Check'!$B$3),""))</f>
        <v/>
      </c>
      <c r="Q82" s="23" t="str">
        <f aca="false">IF(D82="","",IF(D82='Impact Check'!$B$3,COUNTIF($D$3:D82,'Impact Check'!$B$3),""))</f>
        <v/>
      </c>
    </row>
    <row r="83" customFormat="false" ht="15" hidden="false" customHeight="false" outlineLevel="0" collapsed="false">
      <c r="P83" s="23" t="str">
        <f aca="false">IF(H83="","",IF(H83='Impact Check'!$B$3,COUNTIF($H$3:H83,'Impact Check'!$B$3),""))</f>
        <v/>
      </c>
      <c r="Q83" s="23" t="str">
        <f aca="false">IF(D83="","",IF(D83='Impact Check'!$B$3,COUNTIF($D$3:D83,'Impact Check'!$B$3),""))</f>
        <v/>
      </c>
    </row>
    <row r="84" customFormat="false" ht="15" hidden="false" customHeight="false" outlineLevel="0" collapsed="false">
      <c r="P84" s="23" t="str">
        <f aca="false">IF(H84="","",IF(H84='Impact Check'!$B$3,COUNTIF($H$3:H84,'Impact Check'!$B$3),""))</f>
        <v/>
      </c>
      <c r="Q84" s="23" t="str">
        <f aca="false">IF(D84="","",IF(D84='Impact Check'!$B$3,COUNTIF($D$3:D84,'Impact Check'!$B$3),""))</f>
        <v/>
      </c>
    </row>
    <row r="85" customFormat="false" ht="15" hidden="false" customHeight="false" outlineLevel="0" collapsed="false">
      <c r="P85" s="23" t="str">
        <f aca="false">IF(H85="","",IF(H85='Impact Check'!$B$3,COUNTIF($H$3:H85,'Impact Check'!$B$3),""))</f>
        <v/>
      </c>
      <c r="Q85" s="23" t="str">
        <f aca="false">IF(D85="","",IF(D85='Impact Check'!$B$3,COUNTIF($D$3:D85,'Impact Check'!$B$3),""))</f>
        <v/>
      </c>
    </row>
    <row r="86" customFormat="false" ht="15" hidden="false" customHeight="false" outlineLevel="0" collapsed="false">
      <c r="P86" s="23" t="str">
        <f aca="false">IF(H86="","",IF(H86='Impact Check'!$B$3,COUNTIF($H$3:H86,'Impact Check'!$B$3),""))</f>
        <v/>
      </c>
      <c r="Q86" s="23" t="str">
        <f aca="false">IF(D86="","",IF(D86='Impact Check'!$B$3,COUNTIF($D$3:D86,'Impact Check'!$B$3),""))</f>
        <v/>
      </c>
    </row>
    <row r="87" customFormat="false" ht="15" hidden="false" customHeight="false" outlineLevel="0" collapsed="false">
      <c r="P87" s="23" t="str">
        <f aca="false">IF(H87="","",IF(H87='Impact Check'!$B$3,COUNTIF($H$3:H87,'Impact Check'!$B$3),""))</f>
        <v/>
      </c>
      <c r="Q87" s="23" t="str">
        <f aca="false">IF(D87="","",IF(D87='Impact Check'!$B$3,COUNTIF($D$3:D87,'Impact Check'!$B$3),""))</f>
        <v/>
      </c>
    </row>
    <row r="88" customFormat="false" ht="15" hidden="false" customHeight="false" outlineLevel="0" collapsed="false">
      <c r="P88" s="23" t="str">
        <f aca="false">IF(H88="","",IF(H88='Impact Check'!$B$3,COUNTIF($H$3:H88,'Impact Check'!$B$3),""))</f>
        <v/>
      </c>
      <c r="Q88" s="23" t="str">
        <f aca="false">IF(D88="","",IF(D88='Impact Check'!$B$3,COUNTIF($D$3:D88,'Impact Check'!$B$3),""))</f>
        <v/>
      </c>
    </row>
    <row r="89" customFormat="false" ht="15" hidden="false" customHeight="false" outlineLevel="0" collapsed="false">
      <c r="P89" s="23" t="str">
        <f aca="false">IF(H89="","",IF(H89='Impact Check'!$B$3,COUNTIF($H$3:H89,'Impact Check'!$B$3),""))</f>
        <v/>
      </c>
      <c r="Q89" s="23" t="str">
        <f aca="false">IF(D89="","",IF(D89='Impact Check'!$B$3,COUNTIF($D$3:D89,'Impact Check'!$B$3),""))</f>
        <v/>
      </c>
    </row>
    <row r="90" customFormat="false" ht="15" hidden="false" customHeight="false" outlineLevel="0" collapsed="false">
      <c r="P90" s="23" t="str">
        <f aca="false">IF(H90="","",IF(H90='Impact Check'!$B$3,COUNTIF($H$3:H90,'Impact Check'!$B$3),""))</f>
        <v/>
      </c>
      <c r="Q90" s="23" t="str">
        <f aca="false">IF(D90="","",IF(D90='Impact Check'!$B$3,COUNTIF($D$3:D90,'Impact Check'!$B$3),""))</f>
        <v/>
      </c>
    </row>
    <row r="91" customFormat="false" ht="15" hidden="false" customHeight="false" outlineLevel="0" collapsed="false">
      <c r="P91" s="23" t="str">
        <f aca="false">IF(H91="","",IF(H91='Impact Check'!$B$3,COUNTIF($H$3:H91,'Impact Check'!$B$3),""))</f>
        <v/>
      </c>
      <c r="Q91" s="23" t="str">
        <f aca="false">IF(D91="","",IF(D91='Impact Check'!$B$3,COUNTIF($D$3:D91,'Impact Check'!$B$3),""))</f>
        <v/>
      </c>
    </row>
    <row r="92" customFormat="false" ht="15" hidden="false" customHeight="false" outlineLevel="0" collapsed="false">
      <c r="P92" s="23" t="str">
        <f aca="false">IF(H92="","",IF(H92='Impact Check'!$B$3,COUNTIF($H$3:H92,'Impact Check'!$B$3),""))</f>
        <v/>
      </c>
      <c r="Q92" s="23" t="str">
        <f aca="false">IF(D92="","",IF(D92='Impact Check'!$B$3,COUNTIF($D$3:D92,'Impact Check'!$B$3),""))</f>
        <v/>
      </c>
    </row>
    <row r="93" customFormat="false" ht="15" hidden="false" customHeight="false" outlineLevel="0" collapsed="false">
      <c r="P93" s="23" t="str">
        <f aca="false">IF(H93="","",IF(H93='Impact Check'!$B$3,COUNTIF($H$3:H93,'Impact Check'!$B$3),""))</f>
        <v/>
      </c>
      <c r="Q93" s="23" t="str">
        <f aca="false">IF(D93="","",IF(D93='Impact Check'!$B$3,COUNTIF($D$3:D93,'Impact Check'!$B$3),""))</f>
        <v/>
      </c>
    </row>
    <row r="94" customFormat="false" ht="15" hidden="false" customHeight="false" outlineLevel="0" collapsed="false">
      <c r="P94" s="23" t="str">
        <f aca="false">IF(H94="","",IF(H94='Impact Check'!$B$3,COUNTIF($H$3:H94,'Impact Check'!$B$3),""))</f>
        <v/>
      </c>
      <c r="Q94" s="23" t="str">
        <f aca="false">IF(D94="","",IF(D94='Impact Check'!$B$3,COUNTIF($D$3:D94,'Impact Check'!$B$3),""))</f>
        <v/>
      </c>
    </row>
    <row r="95" customFormat="false" ht="15" hidden="false" customHeight="false" outlineLevel="0" collapsed="false">
      <c r="P95" s="23" t="str">
        <f aca="false">IF(H95="","",IF(H95='Impact Check'!$B$3,COUNTIF($H$3:H95,'Impact Check'!$B$3),""))</f>
        <v/>
      </c>
      <c r="Q95" s="23" t="str">
        <f aca="false">IF(D95="","",IF(D95='Impact Check'!$B$3,COUNTIF($D$3:D95,'Impact Check'!$B$3),""))</f>
        <v/>
      </c>
    </row>
    <row r="96" customFormat="false" ht="15" hidden="false" customHeight="false" outlineLevel="0" collapsed="false">
      <c r="P96" s="23" t="str">
        <f aca="false">IF(H96="","",IF(H96='Impact Check'!$B$3,COUNTIF($H$3:H96,'Impact Check'!$B$3),""))</f>
        <v/>
      </c>
      <c r="Q96" s="23" t="str">
        <f aca="false">IF(D96="","",IF(D96='Impact Check'!$B$3,COUNTIF($D$3:D96,'Impact Check'!$B$3),""))</f>
        <v/>
      </c>
    </row>
    <row r="97" customFormat="false" ht="15" hidden="false" customHeight="false" outlineLevel="0" collapsed="false">
      <c r="P97" s="23" t="str">
        <f aca="false">IF(H97="","",IF(H97='Impact Check'!$B$3,COUNTIF($H$3:H97,'Impact Check'!$B$3),""))</f>
        <v/>
      </c>
      <c r="Q97" s="23" t="str">
        <f aca="false">IF(D97="","",IF(D97='Impact Check'!$B$3,COUNTIF($D$3:D97,'Impact Check'!$B$3),""))</f>
        <v/>
      </c>
    </row>
    <row r="98" customFormat="false" ht="15" hidden="false" customHeight="false" outlineLevel="0" collapsed="false">
      <c r="P98" s="23" t="str">
        <f aca="false">IF(H98="","",IF(H98='Impact Check'!$B$3,COUNTIF($H$3:H98,'Impact Check'!$B$3),""))</f>
        <v/>
      </c>
      <c r="Q98" s="23" t="str">
        <f aca="false">IF(D98="","",IF(D98='Impact Check'!$B$3,COUNTIF($D$3:D98,'Impact Check'!$B$3),""))</f>
        <v/>
      </c>
    </row>
    <row r="99" customFormat="false" ht="15" hidden="false" customHeight="false" outlineLevel="0" collapsed="false">
      <c r="P99" s="23" t="str">
        <f aca="false">IF(H99="","",IF(H99='Impact Check'!$B$3,COUNTIF($H$3:H99,'Impact Check'!$B$3),""))</f>
        <v/>
      </c>
      <c r="Q99" s="23" t="str">
        <f aca="false">IF(D99="","",IF(D99='Impact Check'!$B$3,COUNTIF($D$3:D99,'Impact Check'!$B$3),""))</f>
        <v/>
      </c>
    </row>
    <row r="100" customFormat="false" ht="15" hidden="false" customHeight="false" outlineLevel="0" collapsed="false">
      <c r="P100" s="23" t="str">
        <f aca="false">IF(H100="","",IF(H100='Impact Check'!$B$3,COUNTIF($H$3:H100,'Impact Check'!$B$3),""))</f>
        <v/>
      </c>
      <c r="Q100" s="23" t="str">
        <f aca="false">IF(D100="","",IF(D100='Impact Check'!$B$3,COUNTIF($D$3:D100,'Impact Check'!$B$3),""))</f>
        <v/>
      </c>
    </row>
    <row r="101" customFormat="false" ht="15" hidden="false" customHeight="false" outlineLevel="0" collapsed="false">
      <c r="P101" s="23" t="str">
        <f aca="false">IF(H101="","",IF(H101='Impact Check'!$B$3,COUNTIF($H$3:H101,'Impact Check'!$B$3),""))</f>
        <v/>
      </c>
      <c r="Q101" s="23" t="str">
        <f aca="false">IF(D101="","",IF(D101='Impact Check'!$B$3,COUNTIF($D$3:D101,'Impact Check'!$B$3),""))</f>
        <v/>
      </c>
    </row>
    <row r="102" customFormat="false" ht="15" hidden="false" customHeight="false" outlineLevel="0" collapsed="false">
      <c r="P102" s="23" t="str">
        <f aca="false">IF(H102="","",IF(H102='Impact Check'!$B$3,COUNTIF($H$3:H102,'Impact Check'!$B$3),""))</f>
        <v/>
      </c>
      <c r="Q102" s="23" t="str">
        <f aca="false">IF(D102="","",IF(D102='Impact Check'!$B$3,COUNTIF($D$3:D102,'Impact Check'!$B$3),""))</f>
        <v/>
      </c>
    </row>
    <row r="103" customFormat="false" ht="15" hidden="false" customHeight="false" outlineLevel="0" collapsed="false">
      <c r="P103" s="23" t="str">
        <f aca="false">IF(H103="","",IF(H103='Impact Check'!$B$3,COUNTIF($H$3:H103,'Impact Check'!$B$3),""))</f>
        <v/>
      </c>
      <c r="Q103" s="23" t="str">
        <f aca="false">IF(D103="","",IF(D103='Impact Check'!$B$3,COUNTIF($D$3:D103,'Impact Check'!$B$3),""))</f>
        <v/>
      </c>
    </row>
    <row r="104" customFormat="false" ht="15" hidden="false" customHeight="false" outlineLevel="0" collapsed="false">
      <c r="P104" s="23" t="str">
        <f aca="false">IF(H104="","",IF(H104='Impact Check'!$B$3,COUNTIF($H$3:H104,'Impact Check'!$B$3),""))</f>
        <v/>
      </c>
      <c r="Q104" s="23" t="str">
        <f aca="false">IF(D104="","",IF(D104='Impact Check'!$B$3,COUNTIF($D$3:D104,'Impact Check'!$B$3),""))</f>
        <v/>
      </c>
    </row>
    <row r="105" customFormat="false" ht="15" hidden="false" customHeight="false" outlineLevel="0" collapsed="false">
      <c r="P105" s="23" t="str">
        <f aca="false">IF(H105="","",IF(H105='Impact Check'!$B$3,COUNTIF($H$3:H105,'Impact Check'!$B$3),""))</f>
        <v/>
      </c>
      <c r="Q105" s="23" t="str">
        <f aca="false">IF(D105="","",IF(D105='Impact Check'!$B$3,COUNTIF($D$3:D105,'Impact Check'!$B$3),""))</f>
        <v/>
      </c>
    </row>
    <row r="106" customFormat="false" ht="15" hidden="false" customHeight="false" outlineLevel="0" collapsed="false">
      <c r="P106" s="23" t="str">
        <f aca="false">IF(H106="","",IF(H106='Impact Check'!$B$3,COUNTIF($H$3:H106,'Impact Check'!$B$3),""))</f>
        <v/>
      </c>
      <c r="Q106" s="23" t="str">
        <f aca="false">IF(D106="","",IF(D106='Impact Check'!$B$3,COUNTIF($D$3:D106,'Impact Check'!$B$3),""))</f>
        <v/>
      </c>
    </row>
    <row r="107" customFormat="false" ht="15" hidden="false" customHeight="false" outlineLevel="0" collapsed="false">
      <c r="P107" s="23" t="str">
        <f aca="false">IF(H107="","",IF(H107='Impact Check'!$B$3,COUNTIF($H$3:H107,'Impact Check'!$B$3),""))</f>
        <v/>
      </c>
      <c r="Q107" s="23" t="str">
        <f aca="false">IF(D107="","",IF(D107='Impact Check'!$B$3,COUNTIF($D$3:D107,'Impact Check'!$B$3),""))</f>
        <v/>
      </c>
    </row>
    <row r="108" customFormat="false" ht="15" hidden="false" customHeight="false" outlineLevel="0" collapsed="false">
      <c r="P108" s="23" t="str">
        <f aca="false">IF(H108="","",IF(H108='Impact Check'!$B$3,COUNTIF($H$3:H108,'Impact Check'!$B$3),""))</f>
        <v/>
      </c>
      <c r="Q108" s="23" t="str">
        <f aca="false">IF(D108="","",IF(D108='Impact Check'!$B$3,COUNTIF($D$3:D108,'Impact Check'!$B$3),""))</f>
        <v/>
      </c>
    </row>
    <row r="109" customFormat="false" ht="15" hidden="false" customHeight="false" outlineLevel="0" collapsed="false">
      <c r="P109" s="23" t="str">
        <f aca="false">IF(H109="","",IF(H109='Impact Check'!$B$3,COUNTIF($H$3:H109,'Impact Check'!$B$3),""))</f>
        <v/>
      </c>
      <c r="Q109" s="23" t="str">
        <f aca="false">IF(D109="","",IF(D109='Impact Check'!$B$3,COUNTIF($D$3:D109,'Impact Check'!$B$3),""))</f>
        <v/>
      </c>
    </row>
    <row r="110" customFormat="false" ht="15" hidden="false" customHeight="false" outlineLevel="0" collapsed="false">
      <c r="P110" s="23" t="str">
        <f aca="false">IF(H110="","",IF(H110='Impact Check'!$B$3,COUNTIF($H$3:H110,'Impact Check'!$B$3),""))</f>
        <v/>
      </c>
      <c r="Q110" s="23" t="str">
        <f aca="false">IF(D110="","",IF(D110='Impact Check'!$B$3,COUNTIF($D$3:D110,'Impact Check'!$B$3),""))</f>
        <v/>
      </c>
    </row>
    <row r="111" customFormat="false" ht="15" hidden="false" customHeight="false" outlineLevel="0" collapsed="false">
      <c r="P111" s="23" t="str">
        <f aca="false">IF(H111="","",IF(H111='Impact Check'!$B$3,COUNTIF($H$3:H111,'Impact Check'!$B$3),""))</f>
        <v/>
      </c>
      <c r="Q111" s="23" t="str">
        <f aca="false">IF(D111="","",IF(D111='Impact Check'!$B$3,COUNTIF($D$3:D111,'Impact Check'!$B$3),""))</f>
        <v/>
      </c>
    </row>
    <row r="112" customFormat="false" ht="15" hidden="false" customHeight="false" outlineLevel="0" collapsed="false">
      <c r="P112" s="23" t="str">
        <f aca="false">IF(H112="","",IF(H112='Impact Check'!$B$3,COUNTIF($H$3:H112,'Impact Check'!$B$3),""))</f>
        <v/>
      </c>
      <c r="Q112" s="23" t="str">
        <f aca="false">IF(D112="","",IF(D112='Impact Check'!$B$3,COUNTIF($D$3:D112,'Impact Check'!$B$3),""))</f>
        <v/>
      </c>
    </row>
    <row r="113" customFormat="false" ht="15" hidden="false" customHeight="false" outlineLevel="0" collapsed="false">
      <c r="P113" s="23" t="str">
        <f aca="false">IF(H113="","",IF(H113='Impact Check'!$B$3,COUNTIF($H$3:H113,'Impact Check'!$B$3),""))</f>
        <v/>
      </c>
      <c r="Q113" s="23" t="str">
        <f aca="false">IF(D113="","",IF(D113='Impact Check'!$B$3,COUNTIF($D$3:D113,'Impact Check'!$B$3),""))</f>
        <v/>
      </c>
    </row>
    <row r="114" customFormat="false" ht="15" hidden="false" customHeight="false" outlineLevel="0" collapsed="false">
      <c r="P114" s="23" t="str">
        <f aca="false">IF(H114="","",IF(H114='Impact Check'!$B$3,COUNTIF($H$3:H114,'Impact Check'!$B$3),""))</f>
        <v/>
      </c>
      <c r="Q114" s="23" t="str">
        <f aca="false">IF(D114="","",IF(D114='Impact Check'!$B$3,COUNTIF($D$3:D114,'Impact Check'!$B$3),""))</f>
        <v/>
      </c>
    </row>
    <row r="115" customFormat="false" ht="15" hidden="false" customHeight="false" outlineLevel="0" collapsed="false">
      <c r="P115" s="23" t="str">
        <f aca="false">IF(H115="","",IF(H115='Impact Check'!$B$3,COUNTIF($H$3:H115,'Impact Check'!$B$3),""))</f>
        <v/>
      </c>
      <c r="Q115" s="23" t="str">
        <f aca="false">IF(D115="","",IF(D115='Impact Check'!$B$3,COUNTIF($D$3:D115,'Impact Check'!$B$3),""))</f>
        <v/>
      </c>
    </row>
    <row r="116" customFormat="false" ht="15" hidden="false" customHeight="false" outlineLevel="0" collapsed="false">
      <c r="P116" s="23" t="str">
        <f aca="false">IF(H116="","",IF(H116='Impact Check'!$B$3,COUNTIF($H$3:H116,'Impact Check'!$B$3),""))</f>
        <v/>
      </c>
      <c r="Q116" s="23" t="str">
        <f aca="false">IF(D116="","",IF(D116='Impact Check'!$B$3,COUNTIF($D$3:D116,'Impact Check'!$B$3),""))</f>
        <v/>
      </c>
    </row>
    <row r="117" customFormat="false" ht="15" hidden="false" customHeight="false" outlineLevel="0" collapsed="false">
      <c r="P117" s="23" t="str">
        <f aca="false">IF(H117="","",IF(H117='Impact Check'!$B$3,COUNTIF($H$3:H117,'Impact Check'!$B$3),""))</f>
        <v/>
      </c>
      <c r="Q117" s="23" t="str">
        <f aca="false">IF(D117="","",IF(D117='Impact Check'!$B$3,COUNTIF($D$3:D117,'Impact Check'!$B$3),""))</f>
        <v/>
      </c>
    </row>
    <row r="118" customFormat="false" ht="15" hidden="false" customHeight="false" outlineLevel="0" collapsed="false">
      <c r="P118" s="23" t="str">
        <f aca="false">IF(H118="","",IF(H118='Impact Check'!$B$3,COUNTIF($H$3:H118,'Impact Check'!$B$3),""))</f>
        <v/>
      </c>
      <c r="Q118" s="23" t="str">
        <f aca="false">IF(D118="","",IF(D118='Impact Check'!$B$3,COUNTIF($D$3:D118,'Impact Check'!$B$3),""))</f>
        <v/>
      </c>
    </row>
    <row r="119" customFormat="false" ht="15" hidden="false" customHeight="false" outlineLevel="0" collapsed="false">
      <c r="P119" s="23" t="str">
        <f aca="false">IF(H119="","",IF(H119='Impact Check'!$B$3,COUNTIF($H$3:H119,'Impact Check'!$B$3),""))</f>
        <v/>
      </c>
      <c r="Q119" s="23" t="str">
        <f aca="false">IF(D119="","",IF(D119='Impact Check'!$B$3,COUNTIF($D$3:D119,'Impact Check'!$B$3),""))</f>
        <v/>
      </c>
    </row>
    <row r="120" customFormat="false" ht="15" hidden="false" customHeight="false" outlineLevel="0" collapsed="false">
      <c r="P120" s="23" t="str">
        <f aca="false">IF(H120="","",IF(H120='Impact Check'!$B$3,COUNTIF($H$3:H120,'Impact Check'!$B$3),""))</f>
        <v/>
      </c>
      <c r="Q120" s="23" t="str">
        <f aca="false">IF(D120="","",IF(D120='Impact Check'!$B$3,COUNTIF($D$3:D120,'Impact Check'!$B$3),""))</f>
        <v/>
      </c>
    </row>
    <row r="121" customFormat="false" ht="15" hidden="false" customHeight="false" outlineLevel="0" collapsed="false">
      <c r="P121" s="23" t="str">
        <f aca="false">IF(H121="","",IF(H121='Impact Check'!$B$3,COUNTIF($H$3:H121,'Impact Check'!$B$3),""))</f>
        <v/>
      </c>
      <c r="Q121" s="23" t="str">
        <f aca="false">IF(D121="","",IF(D121='Impact Check'!$B$3,COUNTIF($D$3:D121,'Impact Check'!$B$3),""))</f>
        <v/>
      </c>
    </row>
    <row r="122" customFormat="false" ht="15" hidden="false" customHeight="false" outlineLevel="0" collapsed="false">
      <c r="P122" s="23" t="str">
        <f aca="false">IF(H122="","",IF(H122='Impact Check'!$B$3,COUNTIF($H$3:H122,'Impact Check'!$B$3),""))</f>
        <v/>
      </c>
      <c r="Q122" s="23" t="str">
        <f aca="false">IF(D122="","",IF(D122='Impact Check'!$B$3,COUNTIF($D$3:D122,'Impact Check'!$B$3),""))</f>
        <v/>
      </c>
    </row>
    <row r="123" customFormat="false" ht="15" hidden="false" customHeight="false" outlineLevel="0" collapsed="false">
      <c r="P123" s="23" t="str">
        <f aca="false">IF(H123="","",IF(H123='Impact Check'!$B$3,COUNTIF($H$3:H123,'Impact Check'!$B$3),""))</f>
        <v/>
      </c>
      <c r="Q123" s="23" t="str">
        <f aca="false">IF(D123="","",IF(D123='Impact Check'!$B$3,COUNTIF($D$3:D123,'Impact Check'!$B$3),""))</f>
        <v/>
      </c>
    </row>
    <row r="124" customFormat="false" ht="15" hidden="false" customHeight="false" outlineLevel="0" collapsed="false">
      <c r="P124" s="23" t="str">
        <f aca="false">IF(H124="","",IF(H124='Impact Check'!$B$3,COUNTIF($H$3:H124,'Impact Check'!$B$3),""))</f>
        <v/>
      </c>
      <c r="Q124" s="23" t="str">
        <f aca="false">IF(D124="","",IF(D124='Impact Check'!$B$3,COUNTIF($D$3:D124,'Impact Check'!$B$3),""))</f>
        <v/>
      </c>
    </row>
    <row r="125" customFormat="false" ht="15" hidden="false" customHeight="false" outlineLevel="0" collapsed="false">
      <c r="P125" s="23" t="str">
        <f aca="false">IF(H125="","",IF(H125='Impact Check'!$B$3,COUNTIF($H$3:H125,'Impact Check'!$B$3),""))</f>
        <v/>
      </c>
      <c r="Q125" s="23" t="str">
        <f aca="false">IF(D125="","",IF(D125='Impact Check'!$B$3,COUNTIF($D$3:D125,'Impact Check'!$B$3),""))</f>
        <v/>
      </c>
    </row>
    <row r="126" customFormat="false" ht="15" hidden="false" customHeight="false" outlineLevel="0" collapsed="false">
      <c r="P126" s="23" t="str">
        <f aca="false">IF(H126="","",IF(H126='Impact Check'!$B$3,COUNTIF($H$3:H126,'Impact Check'!$B$3),""))</f>
        <v/>
      </c>
      <c r="Q126" s="23" t="str">
        <f aca="false">IF(D126="","",IF(D126='Impact Check'!$B$3,COUNTIF($D$3:D126,'Impact Check'!$B$3),""))</f>
        <v/>
      </c>
    </row>
    <row r="127" customFormat="false" ht="15" hidden="false" customHeight="false" outlineLevel="0" collapsed="false">
      <c r="P127" s="23" t="str">
        <f aca="false">IF(H127="","",IF(H127='Impact Check'!$B$3,COUNTIF($H$3:H127,'Impact Check'!$B$3),""))</f>
        <v/>
      </c>
      <c r="Q127" s="23" t="str">
        <f aca="false">IF(D127="","",IF(D127='Impact Check'!$B$3,COUNTIF($D$3:D127,'Impact Check'!$B$3),""))</f>
        <v/>
      </c>
    </row>
    <row r="128" customFormat="false" ht="15" hidden="false" customHeight="false" outlineLevel="0" collapsed="false">
      <c r="P128" s="23" t="str">
        <f aca="false">IF(H128="","",IF(H128='Impact Check'!$B$3,COUNTIF($H$3:H128,'Impact Check'!$B$3),""))</f>
        <v/>
      </c>
      <c r="Q128" s="23" t="str">
        <f aca="false">IF(D128="","",IF(D128='Impact Check'!$B$3,COUNTIF($D$3:D128,'Impact Check'!$B$3),""))</f>
        <v/>
      </c>
    </row>
    <row r="129" customFormat="false" ht="15" hidden="false" customHeight="false" outlineLevel="0" collapsed="false">
      <c r="P129" s="23" t="str">
        <f aca="false">IF(H129="","",IF(H129='Impact Check'!$B$3,COUNTIF($H$3:H129,'Impact Check'!$B$3),""))</f>
        <v/>
      </c>
      <c r="Q129" s="23" t="str">
        <f aca="false">IF(D129="","",IF(D129='Impact Check'!$B$3,COUNTIF($D$3:D129,'Impact Check'!$B$3),""))</f>
        <v/>
      </c>
    </row>
    <row r="130" customFormat="false" ht="15" hidden="false" customHeight="false" outlineLevel="0" collapsed="false">
      <c r="P130" s="23" t="str">
        <f aca="false">IF(H130="","",IF(H130='Impact Check'!$B$3,COUNTIF($H$3:H130,'Impact Check'!$B$3),""))</f>
        <v/>
      </c>
      <c r="Q130" s="23" t="str">
        <f aca="false">IF(D130="","",IF(D130='Impact Check'!$B$3,COUNTIF($D$3:D130,'Impact Check'!$B$3),""))</f>
        <v/>
      </c>
    </row>
    <row r="131" customFormat="false" ht="15" hidden="false" customHeight="false" outlineLevel="0" collapsed="false">
      <c r="P131" s="23" t="str">
        <f aca="false">IF(H131="","",IF(H131='Impact Check'!$B$3,COUNTIF($H$3:H131,'Impact Check'!$B$3),""))</f>
        <v/>
      </c>
      <c r="Q131" s="23" t="str">
        <f aca="false">IF(D131="","",IF(D131='Impact Check'!$B$3,COUNTIF($D$3:D131,'Impact Check'!$B$3),""))</f>
        <v/>
      </c>
    </row>
    <row r="132" customFormat="false" ht="15" hidden="false" customHeight="false" outlineLevel="0" collapsed="false">
      <c r="P132" s="23" t="str">
        <f aca="false">IF(H132="","",IF(H132='Impact Check'!$B$3,COUNTIF($H$3:H132,'Impact Check'!$B$3),""))</f>
        <v/>
      </c>
      <c r="Q132" s="23" t="str">
        <f aca="false">IF(D132="","",IF(D132='Impact Check'!$B$3,COUNTIF($D$3:D132,'Impact Check'!$B$3),""))</f>
        <v/>
      </c>
    </row>
    <row r="133" customFormat="false" ht="15" hidden="false" customHeight="false" outlineLevel="0" collapsed="false">
      <c r="P133" s="23" t="str">
        <f aca="false">IF(H133="","",IF(H133='Impact Check'!$B$3,COUNTIF($H$3:H133,'Impact Check'!$B$3),""))</f>
        <v/>
      </c>
      <c r="Q133" s="23" t="str">
        <f aca="false">IF(D133="","",IF(D133='Impact Check'!$B$3,COUNTIF($D$3:D133,'Impact Check'!$B$3),""))</f>
        <v/>
      </c>
    </row>
    <row r="134" customFormat="false" ht="15" hidden="false" customHeight="false" outlineLevel="0" collapsed="false">
      <c r="P134" s="23" t="str">
        <f aca="false">IF(H134="","",IF(H134='Impact Check'!$B$3,COUNTIF($H$3:H134,'Impact Check'!$B$3),""))</f>
        <v/>
      </c>
      <c r="Q134" s="23" t="str">
        <f aca="false">IF(D134="","",IF(D134='Impact Check'!$B$3,COUNTIF($D$3:D134,'Impact Check'!$B$3),""))</f>
        <v/>
      </c>
    </row>
    <row r="135" customFormat="false" ht="15" hidden="false" customHeight="false" outlineLevel="0" collapsed="false">
      <c r="P135" s="23" t="str">
        <f aca="false">IF(H135="","",IF(H135='Impact Check'!$B$3,COUNTIF($H$3:H135,'Impact Check'!$B$3),""))</f>
        <v/>
      </c>
      <c r="Q135" s="23" t="str">
        <f aca="false">IF(D135="","",IF(D135='Impact Check'!$B$3,COUNTIF($D$3:D135,'Impact Check'!$B$3),""))</f>
        <v/>
      </c>
    </row>
    <row r="136" customFormat="false" ht="15" hidden="false" customHeight="false" outlineLevel="0" collapsed="false">
      <c r="P136" s="23" t="str">
        <f aca="false">IF(H136="","",IF(H136='Impact Check'!$B$3,COUNTIF($H$3:H136,'Impact Check'!$B$3),""))</f>
        <v/>
      </c>
      <c r="Q136" s="23" t="str">
        <f aca="false">IF(D136="","",IF(D136='Impact Check'!$B$3,COUNTIF($D$3:D136,'Impact Check'!$B$3),""))</f>
        <v/>
      </c>
    </row>
    <row r="137" customFormat="false" ht="15" hidden="false" customHeight="false" outlineLevel="0" collapsed="false">
      <c r="P137" s="23" t="str">
        <f aca="false">IF(H137="","",IF(H137='Impact Check'!$B$3,COUNTIF($H$3:H137,'Impact Check'!$B$3),""))</f>
        <v/>
      </c>
      <c r="Q137" s="23" t="str">
        <f aca="false">IF(D137="","",IF(D137='Impact Check'!$B$3,COUNTIF($D$3:D137,'Impact Check'!$B$3),""))</f>
        <v/>
      </c>
    </row>
    <row r="138" customFormat="false" ht="15" hidden="false" customHeight="false" outlineLevel="0" collapsed="false">
      <c r="P138" s="23" t="str">
        <f aca="false">IF(H138="","",IF(H138='Impact Check'!$B$3,COUNTIF($H$3:H138,'Impact Check'!$B$3),""))</f>
        <v/>
      </c>
      <c r="Q138" s="23" t="str">
        <f aca="false">IF(D138="","",IF(D138='Impact Check'!$B$3,COUNTIF($D$3:D138,'Impact Check'!$B$3),""))</f>
        <v/>
      </c>
    </row>
    <row r="139" customFormat="false" ht="15" hidden="false" customHeight="false" outlineLevel="0" collapsed="false">
      <c r="P139" s="23" t="str">
        <f aca="false">IF(H139="","",IF(H139='Impact Check'!$B$3,COUNTIF($H$3:H139,'Impact Check'!$B$3),""))</f>
        <v/>
      </c>
      <c r="Q139" s="23" t="str">
        <f aca="false">IF(D139="","",IF(D139='Impact Check'!$B$3,COUNTIF($D$3:D139,'Impact Check'!$B$3),""))</f>
        <v/>
      </c>
    </row>
    <row r="140" customFormat="false" ht="15" hidden="false" customHeight="false" outlineLevel="0" collapsed="false">
      <c r="P140" s="23" t="str">
        <f aca="false">IF(H140="","",IF(H140='Impact Check'!$B$3,COUNTIF($H$3:H140,'Impact Check'!$B$3),""))</f>
        <v/>
      </c>
      <c r="Q140" s="23" t="str">
        <f aca="false">IF(D140="","",IF(D140='Impact Check'!$B$3,COUNTIF($D$3:D140,'Impact Check'!$B$3),""))</f>
        <v/>
      </c>
    </row>
    <row r="141" customFormat="false" ht="15" hidden="false" customHeight="false" outlineLevel="0" collapsed="false">
      <c r="P141" s="23" t="str">
        <f aca="false">IF(H141="","",IF(H141='Impact Check'!$B$3,COUNTIF($H$3:H141,'Impact Check'!$B$3),""))</f>
        <v/>
      </c>
      <c r="Q141" s="23" t="str">
        <f aca="false">IF(D141="","",IF(D141='Impact Check'!$B$3,COUNTIF($D$3:D141,'Impact Check'!$B$3),""))</f>
        <v/>
      </c>
    </row>
    <row r="142" customFormat="false" ht="15" hidden="false" customHeight="false" outlineLevel="0" collapsed="false">
      <c r="P142" s="23" t="str">
        <f aca="false">IF(H142="","",IF(H142='Impact Check'!$B$3,COUNTIF($H$3:H142,'Impact Check'!$B$3),""))</f>
        <v/>
      </c>
      <c r="Q142" s="23" t="str">
        <f aca="false">IF(D142="","",IF(D142='Impact Check'!$B$3,COUNTIF($D$3:D142,'Impact Check'!$B$3),""))</f>
        <v/>
      </c>
    </row>
    <row r="143" customFormat="false" ht="15" hidden="false" customHeight="false" outlineLevel="0" collapsed="false">
      <c r="P143" s="23" t="str">
        <f aca="false">IF(H143="","",IF(H143='Impact Check'!$B$3,COUNTIF($H$3:H143,'Impact Check'!$B$3),""))</f>
        <v/>
      </c>
      <c r="Q143" s="23" t="str">
        <f aca="false">IF(D143="","",IF(D143='Impact Check'!$B$3,COUNTIF($D$3:D143,'Impact Check'!$B$3),""))</f>
        <v/>
      </c>
    </row>
    <row r="144" customFormat="false" ht="15" hidden="false" customHeight="false" outlineLevel="0" collapsed="false">
      <c r="P144" s="23" t="str">
        <f aca="false">IF(H144="","",IF(H144='Impact Check'!$B$3,COUNTIF($H$3:H144,'Impact Check'!$B$3),""))</f>
        <v/>
      </c>
      <c r="Q144" s="23" t="str">
        <f aca="false">IF(D144="","",IF(D144='Impact Check'!$B$3,COUNTIF($D$3:D144,'Impact Check'!$B$3),""))</f>
        <v/>
      </c>
    </row>
    <row r="145" customFormat="false" ht="15" hidden="false" customHeight="false" outlineLevel="0" collapsed="false">
      <c r="P145" s="23" t="str">
        <f aca="false">IF(H145="","",IF(H145='Impact Check'!$B$3,COUNTIF($H$3:H145,'Impact Check'!$B$3),""))</f>
        <v/>
      </c>
      <c r="Q145" s="23" t="str">
        <f aca="false">IF(D145="","",IF(D145='Impact Check'!$B$3,COUNTIF($D$3:D145,'Impact Check'!$B$3),""))</f>
        <v/>
      </c>
    </row>
    <row r="146" customFormat="false" ht="15" hidden="false" customHeight="false" outlineLevel="0" collapsed="false">
      <c r="P146" s="23" t="str">
        <f aca="false">IF(H146="","",IF(H146='Impact Check'!$B$3,COUNTIF($H$3:H146,'Impact Check'!$B$3),""))</f>
        <v/>
      </c>
      <c r="Q146" s="23" t="str">
        <f aca="false">IF(D146="","",IF(D146='Impact Check'!$B$3,COUNTIF($D$3:D146,'Impact Check'!$B$3),""))</f>
        <v/>
      </c>
    </row>
    <row r="147" customFormat="false" ht="15" hidden="false" customHeight="false" outlineLevel="0" collapsed="false">
      <c r="P147" s="23" t="str">
        <f aca="false">IF(H147="","",IF(H147='Impact Check'!$B$3,COUNTIF($H$3:H147,'Impact Check'!$B$3),""))</f>
        <v/>
      </c>
      <c r="Q147" s="23" t="str">
        <f aca="false">IF(D147="","",IF(D147='Impact Check'!$B$3,COUNTIF($D$3:D147,'Impact Check'!$B$3),""))</f>
        <v/>
      </c>
    </row>
    <row r="148" customFormat="false" ht="15" hidden="false" customHeight="false" outlineLevel="0" collapsed="false">
      <c r="P148" s="23" t="str">
        <f aca="false">IF(H148="","",IF(H148='Impact Check'!$B$3,COUNTIF($H$3:H148,'Impact Check'!$B$3),""))</f>
        <v/>
      </c>
      <c r="Q148" s="23" t="str">
        <f aca="false">IF(D148="","",IF(D148='Impact Check'!$B$3,COUNTIF($D$3:D148,'Impact Check'!$B$3),""))</f>
        <v/>
      </c>
    </row>
    <row r="149" customFormat="false" ht="15" hidden="false" customHeight="false" outlineLevel="0" collapsed="false">
      <c r="P149" s="23" t="str">
        <f aca="false">IF(H149="","",IF(H149='Impact Check'!$B$3,COUNTIF($H$3:H149,'Impact Check'!$B$3),""))</f>
        <v/>
      </c>
      <c r="Q149" s="23" t="str">
        <f aca="false">IF(D149="","",IF(D149='Impact Check'!$B$3,COUNTIF($D$3:D149,'Impact Check'!$B$3),""))</f>
        <v/>
      </c>
    </row>
    <row r="150" customFormat="false" ht="15" hidden="false" customHeight="false" outlineLevel="0" collapsed="false">
      <c r="P150" s="23" t="str">
        <f aca="false">IF(H150="","",IF(H150='Impact Check'!$B$3,COUNTIF($H$3:H150,'Impact Check'!$B$3),""))</f>
        <v/>
      </c>
      <c r="Q150" s="23" t="str">
        <f aca="false">IF(D150="","",IF(D150='Impact Check'!$B$3,COUNTIF($D$3:D150,'Impact Check'!$B$3),""))</f>
        <v/>
      </c>
    </row>
    <row r="151" customFormat="false" ht="15" hidden="false" customHeight="false" outlineLevel="0" collapsed="false">
      <c r="P151" s="23" t="str">
        <f aca="false">IF(H151="","",IF(H151='Impact Check'!$B$3,COUNTIF($H$3:H151,'Impact Check'!$B$3),""))</f>
        <v/>
      </c>
      <c r="Q151" s="23" t="str">
        <f aca="false">IF(D151="","",IF(D151='Impact Check'!$B$3,COUNTIF($D$3:D151,'Impact Check'!$B$3),""))</f>
        <v/>
      </c>
    </row>
    <row r="152" customFormat="false" ht="15" hidden="false" customHeight="false" outlineLevel="0" collapsed="false">
      <c r="P152" s="23" t="str">
        <f aca="false">IF(H152="","",IF(H152='Impact Check'!$B$3,COUNTIF($H$3:H152,'Impact Check'!$B$3),""))</f>
        <v/>
      </c>
      <c r="Q152" s="23" t="str">
        <f aca="false">IF(D152="","",IF(D152='Impact Check'!$B$3,COUNTIF($D$3:D152,'Impact Check'!$B$3),""))</f>
        <v/>
      </c>
    </row>
    <row r="153" customFormat="false" ht="15" hidden="false" customHeight="false" outlineLevel="0" collapsed="false">
      <c r="P153" s="23" t="str">
        <f aca="false">IF(H153="","",IF(H153='Impact Check'!$B$3,COUNTIF($H$3:H153,'Impact Check'!$B$3),""))</f>
        <v/>
      </c>
      <c r="Q153" s="23" t="str">
        <f aca="false">IF(D153="","",IF(D153='Impact Check'!$B$3,COUNTIF($D$3:D153,'Impact Check'!$B$3),""))</f>
        <v/>
      </c>
    </row>
    <row r="154" customFormat="false" ht="15" hidden="false" customHeight="false" outlineLevel="0" collapsed="false">
      <c r="P154" s="23" t="str">
        <f aca="false">IF(H154="","",IF(H154='Impact Check'!$B$3,COUNTIF($H$3:H154,'Impact Check'!$B$3),""))</f>
        <v/>
      </c>
      <c r="Q154" s="23" t="str">
        <f aca="false">IF(D154="","",IF(D154='Impact Check'!$B$3,COUNTIF($D$3:D154,'Impact Check'!$B$3),""))</f>
        <v/>
      </c>
    </row>
    <row r="155" customFormat="false" ht="15" hidden="false" customHeight="false" outlineLevel="0" collapsed="false">
      <c r="P155" s="23" t="str">
        <f aca="false">IF(H155="","",IF(H155='Impact Check'!$B$3,COUNTIF($H$3:H155,'Impact Check'!$B$3),""))</f>
        <v/>
      </c>
      <c r="Q155" s="23" t="str">
        <f aca="false">IF(D155="","",IF(D155='Impact Check'!$B$3,COUNTIF($D$3:D155,'Impact Check'!$B$3),""))</f>
        <v/>
      </c>
    </row>
    <row r="156" customFormat="false" ht="15" hidden="false" customHeight="false" outlineLevel="0" collapsed="false">
      <c r="P156" s="23" t="str">
        <f aca="false">IF(H156="","",IF(H156='Impact Check'!$B$3,COUNTIF($H$3:H156,'Impact Check'!$B$3),""))</f>
        <v/>
      </c>
      <c r="Q156" s="23" t="str">
        <f aca="false">IF(D156="","",IF(D156='Impact Check'!$B$3,COUNTIF($D$3:D156,'Impact Check'!$B$3),""))</f>
        <v/>
      </c>
    </row>
    <row r="157" customFormat="false" ht="15" hidden="false" customHeight="false" outlineLevel="0" collapsed="false">
      <c r="P157" s="23" t="str">
        <f aca="false">IF(H157="","",IF(H157='Impact Check'!$B$3,COUNTIF($H$3:H157,'Impact Check'!$B$3),""))</f>
        <v/>
      </c>
      <c r="Q157" s="23" t="str">
        <f aca="false">IF(D157="","",IF(D157='Impact Check'!$B$3,COUNTIF($D$3:D157,'Impact Check'!$B$3),""))</f>
        <v/>
      </c>
    </row>
    <row r="158" customFormat="false" ht="15" hidden="false" customHeight="false" outlineLevel="0" collapsed="false">
      <c r="P158" s="23" t="str">
        <f aca="false">IF(H158="","",IF(H158='Impact Check'!$B$3,COUNTIF($H$3:H158,'Impact Check'!$B$3),""))</f>
        <v/>
      </c>
      <c r="Q158" s="23" t="str">
        <f aca="false">IF(D158="","",IF(D158='Impact Check'!$B$3,COUNTIF($D$3:D158,'Impact Check'!$B$3),""))</f>
        <v/>
      </c>
    </row>
    <row r="159" customFormat="false" ht="15" hidden="false" customHeight="false" outlineLevel="0" collapsed="false">
      <c r="P159" s="23" t="str">
        <f aca="false">IF(H159="","",IF(H159='Impact Check'!$B$3,COUNTIF($H$3:H159,'Impact Check'!$B$3),""))</f>
        <v/>
      </c>
      <c r="Q159" s="23" t="str">
        <f aca="false">IF(D159="","",IF(D159='Impact Check'!$B$3,COUNTIF($D$3:D159,'Impact Check'!$B$3),""))</f>
        <v/>
      </c>
    </row>
    <row r="160" customFormat="false" ht="15" hidden="false" customHeight="false" outlineLevel="0" collapsed="false">
      <c r="P160" s="23" t="str">
        <f aca="false">IF(H160="","",IF(H160='Impact Check'!$B$3,COUNTIF($H$3:H160,'Impact Check'!$B$3),""))</f>
        <v/>
      </c>
      <c r="Q160" s="23" t="str">
        <f aca="false">IF(D160="","",IF(D160='Impact Check'!$B$3,COUNTIF($D$3:D160,'Impact Check'!$B$3),""))</f>
        <v/>
      </c>
    </row>
    <row r="161" customFormat="false" ht="15" hidden="false" customHeight="false" outlineLevel="0" collapsed="false">
      <c r="P161" s="23" t="str">
        <f aca="false">IF(H161="","",IF(H161='Impact Check'!$B$3,COUNTIF($H$3:H161,'Impact Check'!$B$3),""))</f>
        <v/>
      </c>
      <c r="Q161" s="23" t="str">
        <f aca="false">IF(D161="","",IF(D161='Impact Check'!$B$3,COUNTIF($D$3:D161,'Impact Check'!$B$3),""))</f>
        <v/>
      </c>
    </row>
    <row r="162" customFormat="false" ht="15" hidden="false" customHeight="false" outlineLevel="0" collapsed="false">
      <c r="P162" s="23" t="str">
        <f aca="false">IF(H162="","",IF(H162='Impact Check'!$B$3,COUNTIF($H$3:H162,'Impact Check'!$B$3),""))</f>
        <v/>
      </c>
      <c r="Q162" s="23" t="str">
        <f aca="false">IF(D162="","",IF(D162='Impact Check'!$B$3,COUNTIF($D$3:D162,'Impact Check'!$B$3),""))</f>
        <v/>
      </c>
    </row>
    <row r="163" customFormat="false" ht="15" hidden="false" customHeight="false" outlineLevel="0" collapsed="false">
      <c r="P163" s="23" t="str">
        <f aca="false">IF(H163="","",IF(H163='Impact Check'!$B$3,COUNTIF($H$3:H163,'Impact Check'!$B$3),""))</f>
        <v/>
      </c>
      <c r="Q163" s="23" t="str">
        <f aca="false">IF(D163="","",IF(D163='Impact Check'!$B$3,COUNTIF($D$3:D163,'Impact Check'!$B$3),""))</f>
        <v/>
      </c>
    </row>
    <row r="164" customFormat="false" ht="15" hidden="false" customHeight="false" outlineLevel="0" collapsed="false">
      <c r="P164" s="23" t="str">
        <f aca="false">IF(H164="","",IF(H164='Impact Check'!$B$3,COUNTIF($H$3:H164,'Impact Check'!$B$3),""))</f>
        <v/>
      </c>
      <c r="Q164" s="23" t="str">
        <f aca="false">IF(D164="","",IF(D164='Impact Check'!$B$3,COUNTIF($D$3:D164,'Impact Check'!$B$3),""))</f>
        <v/>
      </c>
    </row>
    <row r="165" customFormat="false" ht="15" hidden="false" customHeight="false" outlineLevel="0" collapsed="false">
      <c r="P165" s="23" t="str">
        <f aca="false">IF(H165="","",IF(H165='Impact Check'!$B$3,COUNTIF($H$3:H165,'Impact Check'!$B$3),""))</f>
        <v/>
      </c>
      <c r="Q165" s="23" t="str">
        <f aca="false">IF(D165="","",IF(D165='Impact Check'!$B$3,COUNTIF($D$3:D165,'Impact Check'!$B$3),""))</f>
        <v/>
      </c>
    </row>
    <row r="166" customFormat="false" ht="15" hidden="false" customHeight="false" outlineLevel="0" collapsed="false">
      <c r="P166" s="23" t="str">
        <f aca="false">IF(H166="","",IF(H166='Impact Check'!$B$3,COUNTIF($H$3:H166,'Impact Check'!$B$3),""))</f>
        <v/>
      </c>
      <c r="Q166" s="23" t="str">
        <f aca="false">IF(D166="","",IF(D166='Impact Check'!$B$3,COUNTIF($D$3:D166,'Impact Check'!$B$3),""))</f>
        <v/>
      </c>
    </row>
    <row r="167" customFormat="false" ht="15" hidden="false" customHeight="false" outlineLevel="0" collapsed="false">
      <c r="P167" s="23" t="str">
        <f aca="false">IF(H167="","",IF(H167='Impact Check'!$B$3,COUNTIF($H$3:H167,'Impact Check'!$B$3),""))</f>
        <v/>
      </c>
      <c r="Q167" s="23" t="str">
        <f aca="false">IF(D167="","",IF(D167='Impact Check'!$B$3,COUNTIF($D$3:D167,'Impact Check'!$B$3),""))</f>
        <v/>
      </c>
    </row>
    <row r="168" customFormat="false" ht="15" hidden="false" customHeight="false" outlineLevel="0" collapsed="false">
      <c r="P168" s="23" t="str">
        <f aca="false">IF(H168="","",IF(H168='Impact Check'!$B$3,COUNTIF($H$3:H168,'Impact Check'!$B$3),""))</f>
        <v/>
      </c>
      <c r="Q168" s="23" t="str">
        <f aca="false">IF(D168="","",IF(D168='Impact Check'!$B$3,COUNTIF($D$3:D168,'Impact Check'!$B$3),""))</f>
        <v/>
      </c>
    </row>
    <row r="169" customFormat="false" ht="15" hidden="false" customHeight="false" outlineLevel="0" collapsed="false">
      <c r="P169" s="23" t="str">
        <f aca="false">IF(H169="","",IF(H169='Impact Check'!$B$3,COUNTIF($H$3:H169,'Impact Check'!$B$3),""))</f>
        <v/>
      </c>
      <c r="Q169" s="23" t="str">
        <f aca="false">IF(D169="","",IF(D169='Impact Check'!$B$3,COUNTIF($D$3:D169,'Impact Check'!$B$3),""))</f>
        <v/>
      </c>
    </row>
    <row r="170" customFormat="false" ht="15" hidden="false" customHeight="false" outlineLevel="0" collapsed="false">
      <c r="P170" s="23" t="str">
        <f aca="false">IF(H170="","",IF(H170='Impact Check'!$B$3,COUNTIF($H$3:H170,'Impact Check'!$B$3),""))</f>
        <v/>
      </c>
      <c r="Q170" s="23" t="str">
        <f aca="false">IF(D170="","",IF(D170='Impact Check'!$B$3,COUNTIF($D$3:D170,'Impact Check'!$B$3),""))</f>
        <v/>
      </c>
    </row>
    <row r="171" customFormat="false" ht="15" hidden="false" customHeight="false" outlineLevel="0" collapsed="false">
      <c r="P171" s="23" t="str">
        <f aca="false">IF(H171="","",IF(H171='Impact Check'!$B$3,COUNTIF($H$3:H171,'Impact Check'!$B$3),""))</f>
        <v/>
      </c>
      <c r="Q171" s="23" t="str">
        <f aca="false">IF(D171="","",IF(D171='Impact Check'!$B$3,COUNTIF($D$3:D171,'Impact Check'!$B$3),""))</f>
        <v/>
      </c>
    </row>
    <row r="172" customFormat="false" ht="15" hidden="false" customHeight="false" outlineLevel="0" collapsed="false">
      <c r="P172" s="23" t="str">
        <f aca="false">IF(H172="","",IF(H172='Impact Check'!$B$3,COUNTIF($H$3:H172,'Impact Check'!$B$3),""))</f>
        <v/>
      </c>
      <c r="Q172" s="23" t="str">
        <f aca="false">IF(D172="","",IF(D172='Impact Check'!$B$3,COUNTIF($D$3:D172,'Impact Check'!$B$3),""))</f>
        <v/>
      </c>
    </row>
    <row r="173" customFormat="false" ht="15" hidden="false" customHeight="false" outlineLevel="0" collapsed="false">
      <c r="P173" s="23" t="str">
        <f aca="false">IF(H173="","",IF(H173='Impact Check'!$B$3,COUNTIF($H$3:H173,'Impact Check'!$B$3),""))</f>
        <v/>
      </c>
      <c r="Q173" s="23" t="str">
        <f aca="false">IF(D173="","",IF(D173='Impact Check'!$B$3,COUNTIF($D$3:D173,'Impact Check'!$B$3),""))</f>
        <v/>
      </c>
    </row>
    <row r="174" customFormat="false" ht="15" hidden="false" customHeight="false" outlineLevel="0" collapsed="false">
      <c r="P174" s="23" t="str">
        <f aca="false">IF(H174="","",IF(H174='Impact Check'!$B$3,COUNTIF($H$3:H174,'Impact Check'!$B$3),""))</f>
        <v/>
      </c>
      <c r="Q174" s="23" t="str">
        <f aca="false">IF(D174="","",IF(D174='Impact Check'!$B$3,COUNTIF($D$3:D174,'Impact Check'!$B$3),""))</f>
        <v/>
      </c>
    </row>
    <row r="175" customFormat="false" ht="15" hidden="false" customHeight="false" outlineLevel="0" collapsed="false">
      <c r="P175" s="23" t="str">
        <f aca="false">IF(H175="","",IF(H175='Impact Check'!$B$3,COUNTIF($H$3:H175,'Impact Check'!$B$3),""))</f>
        <v/>
      </c>
      <c r="Q175" s="23" t="str">
        <f aca="false">IF(D175="","",IF(D175='Impact Check'!$B$3,COUNTIF($D$3:D175,'Impact Check'!$B$3),""))</f>
        <v/>
      </c>
    </row>
    <row r="176" customFormat="false" ht="15" hidden="false" customHeight="false" outlineLevel="0" collapsed="false">
      <c r="P176" s="23" t="str">
        <f aca="false">IF(H176="","",IF(H176='Impact Check'!$B$3,COUNTIF($H$3:H176,'Impact Check'!$B$3),""))</f>
        <v/>
      </c>
      <c r="Q176" s="23" t="str">
        <f aca="false">IF(D176="","",IF(D176='Impact Check'!$B$3,COUNTIF($D$3:D176,'Impact Check'!$B$3),""))</f>
        <v/>
      </c>
    </row>
    <row r="177" customFormat="false" ht="15" hidden="false" customHeight="false" outlineLevel="0" collapsed="false">
      <c r="P177" s="23" t="str">
        <f aca="false">IF(H177="","",IF(H177='Impact Check'!$B$3,COUNTIF($H$3:H177,'Impact Check'!$B$3),""))</f>
        <v/>
      </c>
      <c r="Q177" s="23" t="str">
        <f aca="false">IF(D177="","",IF(D177='Impact Check'!$B$3,COUNTIF($D$3:D177,'Impact Check'!$B$3),""))</f>
        <v/>
      </c>
    </row>
    <row r="178" customFormat="false" ht="15" hidden="false" customHeight="false" outlineLevel="0" collapsed="false">
      <c r="P178" s="23" t="str">
        <f aca="false">IF(H178="","",IF(H178='Impact Check'!$B$3,COUNTIF($H$3:H178,'Impact Check'!$B$3),""))</f>
        <v/>
      </c>
      <c r="Q178" s="23" t="str">
        <f aca="false">IF(D178="","",IF(D178='Impact Check'!$B$3,COUNTIF($D$3:D178,'Impact Check'!$B$3),""))</f>
        <v/>
      </c>
    </row>
    <row r="179" customFormat="false" ht="15" hidden="false" customHeight="false" outlineLevel="0" collapsed="false">
      <c r="P179" s="23" t="str">
        <f aca="false">IF(H179="","",IF(H179='Impact Check'!$B$3,COUNTIF($H$3:H179,'Impact Check'!$B$3),""))</f>
        <v/>
      </c>
      <c r="Q179" s="23" t="str">
        <f aca="false">IF(D179="","",IF(D179='Impact Check'!$B$3,COUNTIF($D$3:D179,'Impact Check'!$B$3),""))</f>
        <v/>
      </c>
    </row>
    <row r="180" customFormat="false" ht="15" hidden="false" customHeight="false" outlineLevel="0" collapsed="false">
      <c r="P180" s="23" t="str">
        <f aca="false">IF(H180="","",IF(H180='Impact Check'!$B$3,COUNTIF($H$3:H180,'Impact Check'!$B$3),""))</f>
        <v/>
      </c>
      <c r="Q180" s="23" t="str">
        <f aca="false">IF(D180="","",IF(D180='Impact Check'!$B$3,COUNTIF($D$3:D180,'Impact Check'!$B$3),""))</f>
        <v/>
      </c>
    </row>
    <row r="181" customFormat="false" ht="15" hidden="false" customHeight="false" outlineLevel="0" collapsed="false">
      <c r="P181" s="23" t="str">
        <f aca="false">IF(H181="","",IF(H181='Impact Check'!$B$3,COUNTIF($H$3:H181,'Impact Check'!$B$3),""))</f>
        <v/>
      </c>
      <c r="Q181" s="23" t="str">
        <f aca="false">IF(D181="","",IF(D181='Impact Check'!$B$3,COUNTIF($D$3:D181,'Impact Check'!$B$3),""))</f>
        <v/>
      </c>
    </row>
    <row r="182" customFormat="false" ht="15" hidden="false" customHeight="false" outlineLevel="0" collapsed="false">
      <c r="P182" s="23" t="str">
        <f aca="false">IF(H182="","",IF(H182='Impact Check'!$B$3,COUNTIF($H$3:H182,'Impact Check'!$B$3),""))</f>
        <v/>
      </c>
      <c r="Q182" s="23" t="str">
        <f aca="false">IF(D182="","",IF(D182='Impact Check'!$B$3,COUNTIF($D$3:D182,'Impact Check'!$B$3),""))</f>
        <v/>
      </c>
    </row>
    <row r="183" customFormat="false" ht="15" hidden="false" customHeight="false" outlineLevel="0" collapsed="false">
      <c r="P183" s="23" t="str">
        <f aca="false">IF(H183="","",IF(H183='Impact Check'!$B$3,COUNTIF($H$3:H183,'Impact Check'!$B$3),""))</f>
        <v/>
      </c>
      <c r="Q183" s="23" t="str">
        <f aca="false">IF(D183="","",IF(D183='Impact Check'!$B$3,COUNTIF($D$3:D183,'Impact Check'!$B$3),""))</f>
        <v/>
      </c>
    </row>
    <row r="184" customFormat="false" ht="15" hidden="false" customHeight="false" outlineLevel="0" collapsed="false">
      <c r="P184" s="23" t="str">
        <f aca="false">IF(H184="","",IF(H184='Impact Check'!$B$3,COUNTIF($H$3:H184,'Impact Check'!$B$3),""))</f>
        <v/>
      </c>
      <c r="Q184" s="23" t="str">
        <f aca="false">IF(D184="","",IF(D184='Impact Check'!$B$3,COUNTIF($D$3:D184,'Impact Check'!$B$3),""))</f>
        <v/>
      </c>
    </row>
    <row r="185" customFormat="false" ht="15" hidden="false" customHeight="false" outlineLevel="0" collapsed="false">
      <c r="P185" s="23" t="str">
        <f aca="false">IF(H185="","",IF(H185='Impact Check'!$B$3,COUNTIF($H$3:H185,'Impact Check'!$B$3),""))</f>
        <v/>
      </c>
      <c r="Q185" s="23" t="str">
        <f aca="false">IF(D185="","",IF(D185='Impact Check'!$B$3,COUNTIF($D$3:D185,'Impact Check'!$B$3),""))</f>
        <v/>
      </c>
    </row>
    <row r="186" customFormat="false" ht="15" hidden="false" customHeight="false" outlineLevel="0" collapsed="false">
      <c r="P186" s="23" t="str">
        <f aca="false">IF(H186="","",IF(H186='Impact Check'!$B$3,COUNTIF($H$3:H186,'Impact Check'!$B$3),""))</f>
        <v/>
      </c>
      <c r="Q186" s="23" t="str">
        <f aca="false">IF(D186="","",IF(D186='Impact Check'!$B$3,COUNTIF($D$3:D186,'Impact Check'!$B$3),""))</f>
        <v/>
      </c>
    </row>
    <row r="187" customFormat="false" ht="15" hidden="false" customHeight="false" outlineLevel="0" collapsed="false">
      <c r="P187" s="23" t="str">
        <f aca="false">IF(H187="","",IF(H187='Impact Check'!$B$3,COUNTIF($H$3:H187,'Impact Check'!$B$3),""))</f>
        <v/>
      </c>
      <c r="Q187" s="23" t="str">
        <f aca="false">IF(D187="","",IF(D187='Impact Check'!$B$3,COUNTIF($D$3:D187,'Impact Check'!$B$3),""))</f>
        <v/>
      </c>
    </row>
    <row r="188" customFormat="false" ht="15" hidden="false" customHeight="false" outlineLevel="0" collapsed="false">
      <c r="P188" s="23" t="str">
        <f aca="false">IF(H188="","",IF(H188='Impact Check'!$B$3,COUNTIF($H$3:H188,'Impact Check'!$B$3),""))</f>
        <v/>
      </c>
      <c r="Q188" s="23" t="str">
        <f aca="false">IF(D188="","",IF(D188='Impact Check'!$B$3,COUNTIF($D$3:D188,'Impact Check'!$B$3),""))</f>
        <v/>
      </c>
    </row>
    <row r="189" customFormat="false" ht="15" hidden="false" customHeight="false" outlineLevel="0" collapsed="false">
      <c r="P189" s="23" t="str">
        <f aca="false">IF(H189="","",IF(H189='Impact Check'!$B$3,COUNTIF($H$3:H189,'Impact Check'!$B$3),""))</f>
        <v/>
      </c>
      <c r="Q189" s="23" t="str">
        <f aca="false">IF(D189="","",IF(D189='Impact Check'!$B$3,COUNTIF($D$3:D189,'Impact Check'!$B$3),""))</f>
        <v/>
      </c>
    </row>
    <row r="190" customFormat="false" ht="15" hidden="false" customHeight="false" outlineLevel="0" collapsed="false">
      <c r="P190" s="23" t="str">
        <f aca="false">IF(H190="","",IF(H190='Impact Check'!$B$3,COUNTIF($H$3:H190,'Impact Check'!$B$3),""))</f>
        <v/>
      </c>
      <c r="Q190" s="23" t="str">
        <f aca="false">IF(D190="","",IF(D190='Impact Check'!$B$3,COUNTIF($D$3:D190,'Impact Check'!$B$3),""))</f>
        <v/>
      </c>
    </row>
    <row r="191" customFormat="false" ht="15" hidden="false" customHeight="false" outlineLevel="0" collapsed="false">
      <c r="P191" s="23" t="str">
        <f aca="false">IF(H191="","",IF(H191='Impact Check'!$B$3,COUNTIF($H$3:H191,'Impact Check'!$B$3),""))</f>
        <v/>
      </c>
      <c r="Q191" s="23" t="str">
        <f aca="false">IF(D191="","",IF(D191='Impact Check'!$B$3,COUNTIF($D$3:D191,'Impact Check'!$B$3),""))</f>
        <v/>
      </c>
    </row>
    <row r="192" customFormat="false" ht="15" hidden="false" customHeight="false" outlineLevel="0" collapsed="false">
      <c r="P192" s="23" t="str">
        <f aca="false">IF(H192="","",IF(H192='Impact Check'!$B$3,COUNTIF($H$3:H192,'Impact Check'!$B$3),""))</f>
        <v/>
      </c>
      <c r="Q192" s="23" t="str">
        <f aca="false">IF(D192="","",IF(D192='Impact Check'!$B$3,COUNTIF($D$3:D192,'Impact Check'!$B$3),""))</f>
        <v/>
      </c>
    </row>
    <row r="193" customFormat="false" ht="15" hidden="false" customHeight="false" outlineLevel="0" collapsed="false">
      <c r="P193" s="23" t="str">
        <f aca="false">IF(H193="","",IF(H193='Impact Check'!$B$3,COUNTIF($H$3:H193,'Impact Check'!$B$3),""))</f>
        <v/>
      </c>
      <c r="Q193" s="23" t="str">
        <f aca="false">IF(D193="","",IF(D193='Impact Check'!$B$3,COUNTIF($D$3:D193,'Impact Check'!$B$3),""))</f>
        <v/>
      </c>
    </row>
    <row r="194" customFormat="false" ht="15" hidden="false" customHeight="false" outlineLevel="0" collapsed="false">
      <c r="P194" s="23" t="str">
        <f aca="false">IF(H194="","",IF(H194='Impact Check'!$B$3,COUNTIF($H$3:H194,'Impact Check'!$B$3),""))</f>
        <v/>
      </c>
      <c r="Q194" s="23" t="str">
        <f aca="false">IF(D194="","",IF(D194='Impact Check'!$B$3,COUNTIF($D$3:D194,'Impact Check'!$B$3),""))</f>
        <v/>
      </c>
    </row>
    <row r="195" customFormat="false" ht="15" hidden="false" customHeight="false" outlineLevel="0" collapsed="false">
      <c r="P195" s="23" t="str">
        <f aca="false">IF(H195="","",IF(H195='Impact Check'!$B$3,COUNTIF($H$3:H195,'Impact Check'!$B$3),""))</f>
        <v/>
      </c>
      <c r="Q195" s="23" t="str">
        <f aca="false">IF(D195="","",IF(D195='Impact Check'!$B$3,COUNTIF($D$3:D195,'Impact Check'!$B$3),""))</f>
        <v/>
      </c>
    </row>
    <row r="196" customFormat="false" ht="15" hidden="false" customHeight="false" outlineLevel="0" collapsed="false">
      <c r="P196" s="23" t="str">
        <f aca="false">IF(H196="","",IF(H196='Impact Check'!$B$3,COUNTIF($H$3:H196,'Impact Check'!$B$3),""))</f>
        <v/>
      </c>
      <c r="Q196" s="23" t="str">
        <f aca="false">IF(D196="","",IF(D196='Impact Check'!$B$3,COUNTIF($D$3:D196,'Impact Check'!$B$3),""))</f>
        <v/>
      </c>
    </row>
    <row r="197" customFormat="false" ht="15" hidden="false" customHeight="false" outlineLevel="0" collapsed="false">
      <c r="P197" s="23" t="str">
        <f aca="false">IF(H197="","",IF(H197='Impact Check'!$B$3,COUNTIF($H$3:H197,'Impact Check'!$B$3),""))</f>
        <v/>
      </c>
      <c r="Q197" s="23" t="str">
        <f aca="false">IF(D197="","",IF(D197='Impact Check'!$B$3,COUNTIF($D$3:D197,'Impact Check'!$B$3),""))</f>
        <v/>
      </c>
    </row>
    <row r="198" customFormat="false" ht="15" hidden="false" customHeight="false" outlineLevel="0" collapsed="false">
      <c r="P198" s="23" t="str">
        <f aca="false">IF(H198="","",IF(H198='Impact Check'!$B$3,COUNTIF($H$3:H198,'Impact Check'!$B$3),""))</f>
        <v/>
      </c>
      <c r="Q198" s="23" t="str">
        <f aca="false">IF(D198="","",IF(D198='Impact Check'!$B$3,COUNTIF($D$3:D198,'Impact Check'!$B$3),""))</f>
        <v/>
      </c>
    </row>
    <row r="199" customFormat="false" ht="15" hidden="false" customHeight="false" outlineLevel="0" collapsed="false">
      <c r="P199" s="23" t="str">
        <f aca="false">IF(H199="","",IF(H199='Impact Check'!$B$3,COUNTIF($H$3:H199,'Impact Check'!$B$3),""))</f>
        <v/>
      </c>
      <c r="Q199" s="23" t="str">
        <f aca="false">IF(D199="","",IF(D199='Impact Check'!$B$3,COUNTIF($D$3:D199,'Impact Check'!$B$3),""))</f>
        <v/>
      </c>
    </row>
    <row r="200" customFormat="false" ht="15" hidden="false" customHeight="false" outlineLevel="0" collapsed="false">
      <c r="P200" s="23" t="str">
        <f aca="false">IF(H200="","",IF(H200='Impact Check'!$B$3,COUNTIF($H$3:H200,'Impact Check'!$B$3),""))</f>
        <v/>
      </c>
      <c r="Q200" s="23" t="str">
        <f aca="false">IF(D200="","",IF(D200='Impact Check'!$B$3,COUNTIF($D$3:D200,'Impact Check'!$B$3),""))</f>
        <v/>
      </c>
    </row>
    <row r="201" customFormat="false" ht="15" hidden="false" customHeight="false" outlineLevel="0" collapsed="false">
      <c r="P201" s="23" t="str">
        <f aca="false">IF(H201="","",IF(H201='Impact Check'!$B$3,COUNTIF($H$3:H201,'Impact Check'!$B$3),""))</f>
        <v/>
      </c>
      <c r="Q201" s="23" t="str">
        <f aca="false">IF(D201="","",IF(D201='Impact Check'!$B$3,COUNTIF($D$3:D201,'Impact Check'!$B$3),""))</f>
        <v/>
      </c>
    </row>
    <row r="202" customFormat="false" ht="15" hidden="false" customHeight="false" outlineLevel="0" collapsed="false">
      <c r="P202" s="23" t="str">
        <f aca="false">IF(H202="","",IF(H202='Impact Check'!$B$3,COUNTIF($H$3:H202,'Impact Check'!$B$3),""))</f>
        <v/>
      </c>
      <c r="Q202" s="23" t="str">
        <f aca="false">IF(D202="","",IF(D202='Impact Check'!$B$3,COUNTIF($D$3:D202,'Impact Check'!$B$3),""))</f>
        <v/>
      </c>
    </row>
    <row r="203" customFormat="false" ht="15" hidden="false" customHeight="false" outlineLevel="0" collapsed="false">
      <c r="P203" s="23" t="str">
        <f aca="false">IF(H203="","",IF(H203='Impact Check'!$B$3,COUNTIF($H$3:H203,'Impact Check'!$B$3),""))</f>
        <v/>
      </c>
      <c r="Q203" s="23" t="str">
        <f aca="false">IF(D203="","",IF(D203='Impact Check'!$B$3,COUNTIF($D$3:D203,'Impact Check'!$B$3),""))</f>
        <v/>
      </c>
    </row>
    <row r="204" customFormat="false" ht="15" hidden="false" customHeight="false" outlineLevel="0" collapsed="false">
      <c r="P204" s="23" t="str">
        <f aca="false">IF(H204="","",IF(H204='Impact Check'!$B$3,COUNTIF($H$3:H204,'Impact Check'!$B$3),""))</f>
        <v/>
      </c>
      <c r="Q204" s="23" t="str">
        <f aca="false">IF(D204="","",IF(D204='Impact Check'!$B$3,COUNTIF($D$3:D204,'Impact Check'!$B$3),""))</f>
        <v/>
      </c>
    </row>
    <row r="205" customFormat="false" ht="15" hidden="false" customHeight="false" outlineLevel="0" collapsed="false">
      <c r="P205" s="23" t="str">
        <f aca="false">IF(H205="","",IF(H205='Impact Check'!$B$3,COUNTIF($H$3:H205,'Impact Check'!$B$3),""))</f>
        <v/>
      </c>
      <c r="Q205" s="23" t="str">
        <f aca="false">IF(D205="","",IF(D205='Impact Check'!$B$3,COUNTIF($D$3:D205,'Impact Check'!$B$3),""))</f>
        <v/>
      </c>
    </row>
    <row r="206" customFormat="false" ht="15" hidden="false" customHeight="false" outlineLevel="0" collapsed="false">
      <c r="P206" s="23" t="str">
        <f aca="false">IF(H206="","",IF(H206='Impact Check'!$B$3,COUNTIF($H$3:H206,'Impact Check'!$B$3),""))</f>
        <v/>
      </c>
      <c r="Q206" s="23" t="str">
        <f aca="false">IF(D206="","",IF(D206='Impact Check'!$B$3,COUNTIF($D$3:D206,'Impact Check'!$B$3),""))</f>
        <v/>
      </c>
    </row>
    <row r="207" customFormat="false" ht="15" hidden="false" customHeight="false" outlineLevel="0" collapsed="false">
      <c r="P207" s="23" t="str">
        <f aca="false">IF(H207="","",IF(H207='Impact Check'!$B$3,COUNTIF($H$3:H207,'Impact Check'!$B$3),""))</f>
        <v/>
      </c>
      <c r="Q207" s="23" t="str">
        <f aca="false">IF(D207="","",IF(D207='Impact Check'!$B$3,COUNTIF($D$3:D207,'Impact Check'!$B$3),""))</f>
        <v/>
      </c>
    </row>
    <row r="208" customFormat="false" ht="15" hidden="false" customHeight="false" outlineLevel="0" collapsed="false">
      <c r="P208" s="23" t="str">
        <f aca="false">IF(H208="","",IF(H208='Impact Check'!$B$3,COUNTIF($H$3:H208,'Impact Check'!$B$3),""))</f>
        <v/>
      </c>
      <c r="Q208" s="23" t="str">
        <f aca="false">IF(D208="","",IF(D208='Impact Check'!$B$3,COUNTIF($D$3:D208,'Impact Check'!$B$3),""))</f>
        <v/>
      </c>
    </row>
    <row r="209" customFormat="false" ht="15" hidden="false" customHeight="false" outlineLevel="0" collapsed="false">
      <c r="P209" s="23" t="str">
        <f aca="false">IF(H209="","",IF(H209='Impact Check'!$B$3,COUNTIF($H$3:H209,'Impact Check'!$B$3),""))</f>
        <v/>
      </c>
      <c r="Q209" s="23" t="str">
        <f aca="false">IF(D209="","",IF(D209='Impact Check'!$B$3,COUNTIF($D$3:D209,'Impact Check'!$B$3),""))</f>
        <v/>
      </c>
    </row>
    <row r="210" customFormat="false" ht="15" hidden="false" customHeight="false" outlineLevel="0" collapsed="false">
      <c r="P210" s="23" t="str">
        <f aca="false">IF(H210="","",IF(H210='Impact Check'!$B$3,COUNTIF($H$3:H210,'Impact Check'!$B$3),""))</f>
        <v/>
      </c>
      <c r="Q210" s="23" t="str">
        <f aca="false">IF(D210="","",IF(D210='Impact Check'!$B$3,COUNTIF($D$3:D210,'Impact Check'!$B$3),""))</f>
        <v/>
      </c>
    </row>
    <row r="211" customFormat="false" ht="15" hidden="false" customHeight="false" outlineLevel="0" collapsed="false">
      <c r="P211" s="23" t="str">
        <f aca="false">IF(H211="","",IF(H211='Impact Check'!$B$3,COUNTIF($H$3:H211,'Impact Check'!$B$3),""))</f>
        <v/>
      </c>
      <c r="Q211" s="23" t="str">
        <f aca="false">IF(D211="","",IF(D211='Impact Check'!$B$3,COUNTIF($D$3:D211,'Impact Check'!$B$3),""))</f>
        <v/>
      </c>
    </row>
    <row r="212" customFormat="false" ht="15" hidden="false" customHeight="false" outlineLevel="0" collapsed="false">
      <c r="P212" s="23" t="str">
        <f aca="false">IF(H212="","",IF(H212='Impact Check'!$B$3,COUNTIF($H$3:H212,'Impact Check'!$B$3),""))</f>
        <v/>
      </c>
      <c r="Q212" s="23" t="str">
        <f aca="false">IF(D212="","",IF(D212='Impact Check'!$B$3,COUNTIF($D$3:D212,'Impact Check'!$B$3),""))</f>
        <v/>
      </c>
    </row>
    <row r="213" customFormat="false" ht="15" hidden="false" customHeight="false" outlineLevel="0" collapsed="false">
      <c r="P213" s="23" t="str">
        <f aca="false">IF(H213="","",IF(H213='Impact Check'!$B$3,COUNTIF($H$3:H213,'Impact Check'!$B$3),""))</f>
        <v/>
      </c>
      <c r="Q213" s="23" t="str">
        <f aca="false">IF(D213="","",IF(D213='Impact Check'!$B$3,COUNTIF($D$3:D213,'Impact Check'!$B$3),""))</f>
        <v/>
      </c>
    </row>
    <row r="214" customFormat="false" ht="15" hidden="false" customHeight="false" outlineLevel="0" collapsed="false">
      <c r="P214" s="23" t="str">
        <f aca="false">IF(H214="","",IF(H214='Impact Check'!$B$3,COUNTIF($H$3:H214,'Impact Check'!$B$3),""))</f>
        <v/>
      </c>
      <c r="Q214" s="23" t="str">
        <f aca="false">IF(D214="","",IF(D214='Impact Check'!$B$3,COUNTIF($D$3:D214,'Impact Check'!$B$3),""))</f>
        <v/>
      </c>
    </row>
    <row r="215" customFormat="false" ht="15" hidden="false" customHeight="false" outlineLevel="0" collapsed="false">
      <c r="P215" s="23" t="str">
        <f aca="false">IF(H215="","",IF(H215='Impact Check'!$B$3,COUNTIF($H$3:H215,'Impact Check'!$B$3),""))</f>
        <v/>
      </c>
      <c r="Q215" s="23" t="str">
        <f aca="false">IF(D215="","",IF(D215='Impact Check'!$B$3,COUNTIF($D$3:D215,'Impact Check'!$B$3),""))</f>
        <v/>
      </c>
    </row>
    <row r="216" customFormat="false" ht="15" hidden="false" customHeight="false" outlineLevel="0" collapsed="false">
      <c r="P216" s="23" t="str">
        <f aca="false">IF(H216="","",IF(H216='Impact Check'!$B$3,COUNTIF($H$3:H216,'Impact Check'!$B$3),""))</f>
        <v/>
      </c>
      <c r="Q216" s="23" t="str">
        <f aca="false">IF(D216="","",IF(D216='Impact Check'!$B$3,COUNTIF($D$3:D216,'Impact Check'!$B$3),""))</f>
        <v/>
      </c>
    </row>
    <row r="217" customFormat="false" ht="15" hidden="false" customHeight="false" outlineLevel="0" collapsed="false">
      <c r="P217" s="23" t="str">
        <f aca="false">IF(H217="","",IF(H217='Impact Check'!$B$3,COUNTIF($H$3:H217,'Impact Check'!$B$3),""))</f>
        <v/>
      </c>
      <c r="Q217" s="23" t="str">
        <f aca="false">IF(D217="","",IF(D217='Impact Check'!$B$3,COUNTIF($D$3:D217,'Impact Check'!$B$3),""))</f>
        <v/>
      </c>
    </row>
    <row r="218" customFormat="false" ht="15" hidden="false" customHeight="false" outlineLevel="0" collapsed="false">
      <c r="P218" s="23" t="str">
        <f aca="false">IF(H218="","",IF(H218='Impact Check'!$B$3,COUNTIF($H$3:H218,'Impact Check'!$B$3),""))</f>
        <v/>
      </c>
      <c r="Q218" s="23" t="str">
        <f aca="false">IF(D218="","",IF(D218='Impact Check'!$B$3,COUNTIF($D$3:D218,'Impact Check'!$B$3),""))</f>
        <v/>
      </c>
    </row>
    <row r="219" customFormat="false" ht="15" hidden="false" customHeight="false" outlineLevel="0" collapsed="false">
      <c r="P219" s="23" t="str">
        <f aca="false">IF(H219="","",IF(H219='Impact Check'!$B$3,COUNTIF($H$3:H219,'Impact Check'!$B$3),""))</f>
        <v/>
      </c>
      <c r="Q219" s="23" t="str">
        <f aca="false">IF(D219="","",IF(D219='Impact Check'!$B$3,COUNTIF($D$3:D219,'Impact Check'!$B$3),""))</f>
        <v/>
      </c>
    </row>
    <row r="220" customFormat="false" ht="15" hidden="false" customHeight="false" outlineLevel="0" collapsed="false">
      <c r="P220" s="23" t="str">
        <f aca="false">IF(H220="","",IF(H220='Impact Check'!$B$3,COUNTIF($H$3:H220,'Impact Check'!$B$3),""))</f>
        <v/>
      </c>
      <c r="Q220" s="23" t="str">
        <f aca="false">IF(D220="","",IF(D220='Impact Check'!$B$3,COUNTIF($D$3:D220,'Impact Check'!$B$3),""))</f>
        <v/>
      </c>
    </row>
    <row r="221" customFormat="false" ht="15" hidden="false" customHeight="false" outlineLevel="0" collapsed="false">
      <c r="P221" s="23" t="str">
        <f aca="false">IF(H221="","",IF(H221='Impact Check'!$B$3,COUNTIF($H$3:H221,'Impact Check'!$B$3),""))</f>
        <v/>
      </c>
      <c r="Q221" s="23" t="str">
        <f aca="false">IF(D221="","",IF(D221='Impact Check'!$B$3,COUNTIF($D$3:D221,'Impact Check'!$B$3),""))</f>
        <v/>
      </c>
    </row>
    <row r="222" customFormat="false" ht="15" hidden="false" customHeight="false" outlineLevel="0" collapsed="false">
      <c r="P222" s="23" t="str">
        <f aca="false">IF(H222="","",IF(H222='Impact Check'!$B$3,COUNTIF($H$3:H222,'Impact Check'!$B$3),""))</f>
        <v/>
      </c>
      <c r="Q222" s="23" t="str">
        <f aca="false">IF(D222="","",IF(D222='Impact Check'!$B$3,COUNTIF($D$3:D222,'Impact Check'!$B$3),""))</f>
        <v/>
      </c>
    </row>
    <row r="223" customFormat="false" ht="15" hidden="false" customHeight="false" outlineLevel="0" collapsed="false">
      <c r="P223" s="23" t="str">
        <f aca="false">IF(H223="","",IF(H223='Impact Check'!$B$3,COUNTIF($H$3:H223,'Impact Check'!$B$3),""))</f>
        <v/>
      </c>
      <c r="Q223" s="23" t="str">
        <f aca="false">IF(D223="","",IF(D223='Impact Check'!$B$3,COUNTIF($D$3:D223,'Impact Check'!$B$3),""))</f>
        <v/>
      </c>
    </row>
    <row r="224" customFormat="false" ht="15" hidden="false" customHeight="false" outlineLevel="0" collapsed="false">
      <c r="P224" s="23" t="str">
        <f aca="false">IF(H224="","",IF(H224='Impact Check'!$B$3,COUNTIF($H$3:H224,'Impact Check'!$B$3),""))</f>
        <v/>
      </c>
      <c r="Q224" s="23" t="str">
        <f aca="false">IF(D224="","",IF(D224='Impact Check'!$B$3,COUNTIF($D$3:D224,'Impact Check'!$B$3),""))</f>
        <v/>
      </c>
    </row>
    <row r="225" customFormat="false" ht="15" hidden="false" customHeight="false" outlineLevel="0" collapsed="false">
      <c r="P225" s="23" t="str">
        <f aca="false">IF(H225="","",IF(H225='Impact Check'!$B$3,COUNTIF($H$3:H225,'Impact Check'!$B$3),""))</f>
        <v/>
      </c>
      <c r="Q225" s="23" t="str">
        <f aca="false">IF(D225="","",IF(D225='Impact Check'!$B$3,COUNTIF($D$3:D225,'Impact Check'!$B$3),""))</f>
        <v/>
      </c>
    </row>
    <row r="226" customFormat="false" ht="15" hidden="false" customHeight="false" outlineLevel="0" collapsed="false">
      <c r="P226" s="23" t="str">
        <f aca="false">IF(H226="","",IF(H226='Impact Check'!$B$3,COUNTIF($H$3:H226,'Impact Check'!$B$3),""))</f>
        <v/>
      </c>
      <c r="Q226" s="23" t="str">
        <f aca="false">IF(D226="","",IF(D226='Impact Check'!$B$3,COUNTIF($D$3:D226,'Impact Check'!$B$3),""))</f>
        <v/>
      </c>
    </row>
    <row r="227" customFormat="false" ht="15" hidden="false" customHeight="false" outlineLevel="0" collapsed="false">
      <c r="P227" s="23" t="str">
        <f aca="false">IF(H227="","",IF(H227='Impact Check'!$B$3,COUNTIF($H$3:H227,'Impact Check'!$B$3),""))</f>
        <v/>
      </c>
      <c r="Q227" s="23" t="str">
        <f aca="false">IF(D227="","",IF(D227='Impact Check'!$B$3,COUNTIF($D$3:D227,'Impact Check'!$B$3),""))</f>
        <v/>
      </c>
    </row>
    <row r="228" customFormat="false" ht="15" hidden="false" customHeight="false" outlineLevel="0" collapsed="false">
      <c r="P228" s="23" t="str">
        <f aca="false">IF(H228="","",IF(H228='Impact Check'!$B$3,COUNTIF($H$3:H228,'Impact Check'!$B$3),""))</f>
        <v/>
      </c>
      <c r="Q228" s="23" t="str">
        <f aca="false">IF(D228="","",IF(D228='Impact Check'!$B$3,COUNTIF($D$3:D228,'Impact Check'!$B$3),""))</f>
        <v/>
      </c>
    </row>
    <row r="229" customFormat="false" ht="15" hidden="false" customHeight="false" outlineLevel="0" collapsed="false">
      <c r="P229" s="23" t="str">
        <f aca="false">IF(H229="","",IF(H229='Impact Check'!$B$3,COUNTIF($H$3:H229,'Impact Check'!$B$3),""))</f>
        <v/>
      </c>
      <c r="Q229" s="23" t="str">
        <f aca="false">IF(D229="","",IF(D229='Impact Check'!$B$3,COUNTIF($D$3:D229,'Impact Check'!$B$3),""))</f>
        <v/>
      </c>
    </row>
    <row r="230" customFormat="false" ht="15" hidden="false" customHeight="false" outlineLevel="0" collapsed="false">
      <c r="P230" s="23" t="str">
        <f aca="false">IF(H230="","",IF(H230='Impact Check'!$B$3,COUNTIF($H$3:H230,'Impact Check'!$B$3),""))</f>
        <v/>
      </c>
      <c r="Q230" s="23" t="str">
        <f aca="false">IF(D230="","",IF(D230='Impact Check'!$B$3,COUNTIF($D$3:D230,'Impact Check'!$B$3),""))</f>
        <v/>
      </c>
    </row>
    <row r="231" customFormat="false" ht="15" hidden="false" customHeight="false" outlineLevel="0" collapsed="false">
      <c r="P231" s="23" t="str">
        <f aca="false">IF(H231="","",IF(H231='Impact Check'!$B$3,COUNTIF($H$3:H231,'Impact Check'!$B$3),""))</f>
        <v/>
      </c>
      <c r="Q231" s="23" t="str">
        <f aca="false">IF(D231="","",IF(D231='Impact Check'!$B$3,COUNTIF($D$3:D231,'Impact Check'!$B$3),""))</f>
        <v/>
      </c>
    </row>
    <row r="232" customFormat="false" ht="15" hidden="false" customHeight="false" outlineLevel="0" collapsed="false">
      <c r="P232" s="23" t="str">
        <f aca="false">IF(H232="","",IF(H232='Impact Check'!$B$3,COUNTIF($H$3:H232,'Impact Check'!$B$3),""))</f>
        <v/>
      </c>
      <c r="Q232" s="23" t="str">
        <f aca="false">IF(D232="","",IF(D232='Impact Check'!$B$3,COUNTIF($D$3:D232,'Impact Check'!$B$3),""))</f>
        <v/>
      </c>
    </row>
    <row r="233" customFormat="false" ht="15" hidden="false" customHeight="false" outlineLevel="0" collapsed="false">
      <c r="P233" s="23" t="str">
        <f aca="false">IF(H233="","",IF(H233='Impact Check'!$B$3,COUNTIF($H$3:H233,'Impact Check'!$B$3),""))</f>
        <v/>
      </c>
      <c r="Q233" s="23" t="str">
        <f aca="false">IF(D233="","",IF(D233='Impact Check'!$B$3,COUNTIF($D$3:D233,'Impact Check'!$B$3),""))</f>
        <v/>
      </c>
    </row>
    <row r="234" customFormat="false" ht="15" hidden="false" customHeight="false" outlineLevel="0" collapsed="false">
      <c r="P234" s="23" t="str">
        <f aca="false">IF(H234="","",IF(H234='Impact Check'!$B$3,COUNTIF($H$3:H234,'Impact Check'!$B$3),""))</f>
        <v/>
      </c>
      <c r="Q234" s="23" t="str">
        <f aca="false">IF(D234="","",IF(D234='Impact Check'!$B$3,COUNTIF($D$3:D234,'Impact Check'!$B$3),""))</f>
        <v/>
      </c>
    </row>
    <row r="235" customFormat="false" ht="15" hidden="false" customHeight="false" outlineLevel="0" collapsed="false">
      <c r="P235" s="23" t="str">
        <f aca="false">IF(H235="","",IF(H235='Impact Check'!$B$3,COUNTIF($H$3:H235,'Impact Check'!$B$3),""))</f>
        <v/>
      </c>
      <c r="Q235" s="23" t="str">
        <f aca="false">IF(D235="","",IF(D235='Impact Check'!$B$3,COUNTIF($D$3:D235,'Impact Check'!$B$3),""))</f>
        <v/>
      </c>
    </row>
    <row r="236" customFormat="false" ht="15" hidden="false" customHeight="false" outlineLevel="0" collapsed="false">
      <c r="P236" s="23" t="str">
        <f aca="false">IF(H236="","",IF(H236='Impact Check'!$B$3,COUNTIF($H$3:H236,'Impact Check'!$B$3),""))</f>
        <v/>
      </c>
      <c r="Q236" s="23" t="str">
        <f aca="false">IF(D236="","",IF(D236='Impact Check'!$B$3,COUNTIF($D$3:D236,'Impact Check'!$B$3),""))</f>
        <v/>
      </c>
    </row>
    <row r="237" customFormat="false" ht="15" hidden="false" customHeight="false" outlineLevel="0" collapsed="false">
      <c r="P237" s="23" t="str">
        <f aca="false">IF(H237="","",IF(H237='Impact Check'!$B$3,COUNTIF($H$3:H237,'Impact Check'!$B$3),""))</f>
        <v/>
      </c>
      <c r="Q237" s="23" t="str">
        <f aca="false">IF(D237="","",IF(D237='Impact Check'!$B$3,COUNTIF($D$3:D237,'Impact Check'!$B$3),""))</f>
        <v/>
      </c>
    </row>
    <row r="238" customFormat="false" ht="15" hidden="false" customHeight="false" outlineLevel="0" collapsed="false">
      <c r="P238" s="23" t="str">
        <f aca="false">IF(H238="","",IF(H238='Impact Check'!$B$3,COUNTIF($H$3:H238,'Impact Check'!$B$3),""))</f>
        <v/>
      </c>
      <c r="Q238" s="23" t="str">
        <f aca="false">IF(D238="","",IF(D238='Impact Check'!$B$3,COUNTIF($D$3:D238,'Impact Check'!$B$3),""))</f>
        <v/>
      </c>
    </row>
    <row r="239" customFormat="false" ht="15" hidden="false" customHeight="false" outlineLevel="0" collapsed="false">
      <c r="P239" s="23" t="str">
        <f aca="false">IF(H239="","",IF(H239='Impact Check'!$B$3,COUNTIF($H$3:H239,'Impact Check'!$B$3),""))</f>
        <v/>
      </c>
      <c r="Q239" s="23" t="str">
        <f aca="false">IF(D239="","",IF(D239='Impact Check'!$B$3,COUNTIF($D$3:D239,'Impact Check'!$B$3),""))</f>
        <v/>
      </c>
    </row>
    <row r="240" customFormat="false" ht="15" hidden="false" customHeight="false" outlineLevel="0" collapsed="false">
      <c r="P240" s="23" t="str">
        <f aca="false">IF(H240="","",IF(H240='Impact Check'!$B$3,COUNTIF($H$3:H240,'Impact Check'!$B$3),""))</f>
        <v/>
      </c>
      <c r="Q240" s="23" t="str">
        <f aca="false">IF(D240="","",IF(D240='Impact Check'!$B$3,COUNTIF($D$3:D240,'Impact Check'!$B$3),""))</f>
        <v/>
      </c>
    </row>
    <row r="241" customFormat="false" ht="15" hidden="false" customHeight="false" outlineLevel="0" collapsed="false">
      <c r="P241" s="23" t="str">
        <f aca="false">IF(H241="","",IF(H241='Impact Check'!$B$3,COUNTIF($H$3:H241,'Impact Check'!$B$3),""))</f>
        <v/>
      </c>
      <c r="Q241" s="23" t="str">
        <f aca="false">IF(D241="","",IF(D241='Impact Check'!$B$3,COUNTIF($D$3:D241,'Impact Check'!$B$3),""))</f>
        <v/>
      </c>
    </row>
    <row r="242" customFormat="false" ht="15" hidden="false" customHeight="false" outlineLevel="0" collapsed="false">
      <c r="P242" s="23" t="str">
        <f aca="false">IF(H242="","",IF(H242='Impact Check'!$B$3,COUNTIF($H$3:H242,'Impact Check'!$B$3),""))</f>
        <v/>
      </c>
      <c r="Q242" s="23" t="str">
        <f aca="false">IF(D242="","",IF(D242='Impact Check'!$B$3,COUNTIF($D$3:D242,'Impact Check'!$B$3),""))</f>
        <v/>
      </c>
    </row>
    <row r="243" customFormat="false" ht="15" hidden="false" customHeight="false" outlineLevel="0" collapsed="false">
      <c r="P243" s="23" t="str">
        <f aca="false">IF(H243="","",IF(H243='Impact Check'!$B$3,COUNTIF($H$3:H243,'Impact Check'!$B$3),""))</f>
        <v/>
      </c>
      <c r="Q243" s="23" t="str">
        <f aca="false">IF(D243="","",IF(D243='Impact Check'!$B$3,COUNTIF($D$3:D243,'Impact Check'!$B$3),""))</f>
        <v/>
      </c>
    </row>
    <row r="244" customFormat="false" ht="15" hidden="false" customHeight="false" outlineLevel="0" collapsed="false">
      <c r="P244" s="23" t="str">
        <f aca="false">IF(H244="","",IF(H244='Impact Check'!$B$3,COUNTIF($H$3:H244,'Impact Check'!$B$3),""))</f>
        <v/>
      </c>
      <c r="Q244" s="23" t="str">
        <f aca="false">IF(D244="","",IF(D244='Impact Check'!$B$3,COUNTIF($D$3:D244,'Impact Check'!$B$3),""))</f>
        <v/>
      </c>
    </row>
    <row r="245" customFormat="false" ht="15" hidden="false" customHeight="false" outlineLevel="0" collapsed="false">
      <c r="P245" s="23" t="str">
        <f aca="false">IF(H245="","",IF(H245='Impact Check'!$B$3,COUNTIF($H$3:H245,'Impact Check'!$B$3),""))</f>
        <v/>
      </c>
      <c r="Q245" s="23" t="str">
        <f aca="false">IF(D245="","",IF(D245='Impact Check'!$B$3,COUNTIF($D$3:D245,'Impact Check'!$B$3),""))</f>
        <v/>
      </c>
    </row>
    <row r="246" customFormat="false" ht="15" hidden="false" customHeight="false" outlineLevel="0" collapsed="false">
      <c r="P246" s="23" t="str">
        <f aca="false">IF(H246="","",IF(H246='Impact Check'!$B$3,COUNTIF($H$3:H246,'Impact Check'!$B$3),""))</f>
        <v/>
      </c>
      <c r="Q246" s="23" t="str">
        <f aca="false">IF(D246="","",IF(D246='Impact Check'!$B$3,COUNTIF($D$3:D246,'Impact Check'!$B$3),""))</f>
        <v/>
      </c>
    </row>
    <row r="247" customFormat="false" ht="15" hidden="false" customHeight="false" outlineLevel="0" collapsed="false">
      <c r="P247" s="23" t="str">
        <f aca="false">IF(H247="","",IF(H247='Impact Check'!$B$3,COUNTIF($H$3:H247,'Impact Check'!$B$3),""))</f>
        <v/>
      </c>
      <c r="Q247" s="23" t="str">
        <f aca="false">IF(D247="","",IF(D247='Impact Check'!$B$3,COUNTIF($D$3:D247,'Impact Check'!$B$3),""))</f>
        <v/>
      </c>
    </row>
    <row r="248" customFormat="false" ht="15" hidden="false" customHeight="false" outlineLevel="0" collapsed="false">
      <c r="P248" s="23" t="str">
        <f aca="false">IF(H248="","",IF(H248='Impact Check'!$B$3,COUNTIF($H$3:H248,'Impact Check'!$B$3),""))</f>
        <v/>
      </c>
      <c r="Q248" s="23" t="str">
        <f aca="false">IF(D248="","",IF(D248='Impact Check'!$B$3,COUNTIF($D$3:D248,'Impact Check'!$B$3),""))</f>
        <v/>
      </c>
    </row>
    <row r="249" customFormat="false" ht="15" hidden="false" customHeight="false" outlineLevel="0" collapsed="false">
      <c r="P249" s="23" t="str">
        <f aca="false">IF(H249="","",IF(H249='Impact Check'!$B$3,COUNTIF($H$3:H249,'Impact Check'!$B$3),""))</f>
        <v/>
      </c>
      <c r="Q249" s="23" t="str">
        <f aca="false">IF(D249="","",IF(D249='Impact Check'!$B$3,COUNTIF($D$3:D249,'Impact Check'!$B$3),""))</f>
        <v/>
      </c>
    </row>
    <row r="250" customFormat="false" ht="15" hidden="false" customHeight="false" outlineLevel="0" collapsed="false">
      <c r="P250" s="23" t="str">
        <f aca="false">IF(H250="","",IF(H250='Impact Check'!$B$3,COUNTIF($H$3:H250,'Impact Check'!$B$3),""))</f>
        <v/>
      </c>
      <c r="Q250" s="23" t="str">
        <f aca="false">IF(D250="","",IF(D250='Impact Check'!$B$3,COUNTIF($D$3:D250,'Impact Check'!$B$3),""))</f>
        <v/>
      </c>
    </row>
    <row r="251" customFormat="false" ht="15" hidden="false" customHeight="false" outlineLevel="0" collapsed="false">
      <c r="P251" s="23" t="str">
        <f aca="false">IF(H251="","",IF(H251='Impact Check'!$B$3,COUNTIF($H$3:H251,'Impact Check'!$B$3),""))</f>
        <v/>
      </c>
      <c r="Q251" s="23" t="str">
        <f aca="false">IF(D251="","",IF(D251='Impact Check'!$B$3,COUNTIF($D$3:D251,'Impact Check'!$B$3),""))</f>
        <v/>
      </c>
    </row>
    <row r="252" customFormat="false" ht="15" hidden="false" customHeight="false" outlineLevel="0" collapsed="false">
      <c r="P252" s="23" t="str">
        <f aca="false">IF(H252="","",IF(H252='Impact Check'!$B$3,COUNTIF($H$3:H252,'Impact Check'!$B$3),""))</f>
        <v/>
      </c>
      <c r="Q252" s="23" t="str">
        <f aca="false">IF(D252="","",IF(D252='Impact Check'!$B$3,COUNTIF($D$3:D252,'Impact Check'!$B$3),""))</f>
        <v/>
      </c>
    </row>
    <row r="253" customFormat="false" ht="15" hidden="false" customHeight="false" outlineLevel="0" collapsed="false">
      <c r="P253" s="23" t="str">
        <f aca="false">IF(H253="","",IF(H253='Impact Check'!$B$3,COUNTIF($H$3:H253,'Impact Check'!$B$3),""))</f>
        <v/>
      </c>
      <c r="Q253" s="23" t="str">
        <f aca="false">IF(D253="","",IF(D253='Impact Check'!$B$3,COUNTIF($D$3:D253,'Impact Check'!$B$3),""))</f>
        <v/>
      </c>
    </row>
    <row r="254" customFormat="false" ht="15" hidden="false" customHeight="false" outlineLevel="0" collapsed="false">
      <c r="P254" s="23" t="str">
        <f aca="false">IF(H254="","",IF(H254='Impact Check'!$B$3,COUNTIF($H$3:H254,'Impact Check'!$B$3),""))</f>
        <v/>
      </c>
      <c r="Q254" s="23" t="str">
        <f aca="false">IF(D254="","",IF(D254='Impact Check'!$B$3,COUNTIF($D$3:D254,'Impact Check'!$B$3),""))</f>
        <v/>
      </c>
    </row>
    <row r="255" customFormat="false" ht="15" hidden="false" customHeight="false" outlineLevel="0" collapsed="false">
      <c r="P255" s="23" t="str">
        <f aca="false">IF(H255="","",IF(H255='Impact Check'!$B$3,COUNTIF($H$3:H255,'Impact Check'!$B$3),""))</f>
        <v/>
      </c>
      <c r="Q255" s="23" t="str">
        <f aca="false">IF(D255="","",IF(D255='Impact Check'!$B$3,COUNTIF($D$3:D255,'Impact Check'!$B$3),""))</f>
        <v/>
      </c>
    </row>
    <row r="256" customFormat="false" ht="15" hidden="false" customHeight="false" outlineLevel="0" collapsed="false">
      <c r="P256" s="23" t="str">
        <f aca="false">IF(H256="","",IF(H256='Impact Check'!$B$3,COUNTIF($H$3:H256,'Impact Check'!$B$3),""))</f>
        <v/>
      </c>
      <c r="Q256" s="23" t="str">
        <f aca="false">IF(D256="","",IF(D256='Impact Check'!$B$3,COUNTIF($D$3:D256,'Impact Check'!$B$3),""))</f>
        <v/>
      </c>
    </row>
    <row r="257" customFormat="false" ht="15" hidden="false" customHeight="false" outlineLevel="0" collapsed="false">
      <c r="P257" s="23" t="str">
        <f aca="false">IF(H257="","",IF(H257='Impact Check'!$B$3,COUNTIF($H$3:H257,'Impact Check'!$B$3),""))</f>
        <v/>
      </c>
      <c r="Q257" s="23" t="str">
        <f aca="false">IF(D257="","",IF(D257='Impact Check'!$B$3,COUNTIF($D$3:D257,'Impact Check'!$B$3),""))</f>
        <v/>
      </c>
    </row>
    <row r="258" customFormat="false" ht="15" hidden="false" customHeight="false" outlineLevel="0" collapsed="false">
      <c r="P258" s="23" t="str">
        <f aca="false">IF(H258="","",IF(H258='Impact Check'!$B$3,COUNTIF($H$3:H258,'Impact Check'!$B$3),""))</f>
        <v/>
      </c>
      <c r="Q258" s="23" t="str">
        <f aca="false">IF(D258="","",IF(D258='Impact Check'!$B$3,COUNTIF($D$3:D258,'Impact Check'!$B$3),""))</f>
        <v/>
      </c>
    </row>
    <row r="259" customFormat="false" ht="15" hidden="false" customHeight="false" outlineLevel="0" collapsed="false">
      <c r="P259" s="23" t="str">
        <f aca="false">IF(H259="","",IF(H259='Impact Check'!$B$3,COUNTIF($H$3:H259,'Impact Check'!$B$3),""))</f>
        <v/>
      </c>
      <c r="Q259" s="23" t="str">
        <f aca="false">IF(D259="","",IF(D259='Impact Check'!$B$3,COUNTIF($D$3:D259,'Impact Check'!$B$3),""))</f>
        <v/>
      </c>
    </row>
    <row r="260" customFormat="false" ht="15" hidden="false" customHeight="false" outlineLevel="0" collapsed="false">
      <c r="P260" s="23" t="str">
        <f aca="false">IF(H260="","",IF(H260='Impact Check'!$B$3,COUNTIF($H$3:H260,'Impact Check'!$B$3),""))</f>
        <v/>
      </c>
      <c r="Q260" s="23" t="str">
        <f aca="false">IF(D260="","",IF(D260='Impact Check'!$B$3,COUNTIF($D$3:D260,'Impact Check'!$B$3),""))</f>
        <v/>
      </c>
    </row>
    <row r="261" customFormat="false" ht="15" hidden="false" customHeight="false" outlineLevel="0" collapsed="false">
      <c r="P261" s="23" t="str">
        <f aca="false">IF(H261="","",IF(H261='Impact Check'!$B$3,COUNTIF($H$3:H261,'Impact Check'!$B$3),""))</f>
        <v/>
      </c>
      <c r="Q261" s="23" t="str">
        <f aca="false">IF(D261="","",IF(D261='Impact Check'!$B$3,COUNTIF($D$3:D261,'Impact Check'!$B$3),""))</f>
        <v/>
      </c>
    </row>
    <row r="262" customFormat="false" ht="15" hidden="false" customHeight="false" outlineLevel="0" collapsed="false">
      <c r="P262" s="23" t="str">
        <f aca="false">IF(H262="","",IF(H262='Impact Check'!$B$3,COUNTIF($H$3:H262,'Impact Check'!$B$3),""))</f>
        <v/>
      </c>
      <c r="Q262" s="23" t="str">
        <f aca="false">IF(D262="","",IF(D262='Impact Check'!$B$3,COUNTIF($D$3:D262,'Impact Check'!$B$3),""))</f>
        <v/>
      </c>
    </row>
    <row r="263" customFormat="false" ht="15" hidden="false" customHeight="false" outlineLevel="0" collapsed="false">
      <c r="P263" s="23" t="str">
        <f aca="false">IF(H263="","",IF(H263='Impact Check'!$B$3,COUNTIF($H$3:H263,'Impact Check'!$B$3),""))</f>
        <v/>
      </c>
      <c r="Q263" s="23" t="str">
        <f aca="false">IF(D263="","",IF(D263='Impact Check'!$B$3,COUNTIF($D$3:D263,'Impact Check'!$B$3),""))</f>
        <v/>
      </c>
    </row>
    <row r="264" customFormat="false" ht="15" hidden="false" customHeight="false" outlineLevel="0" collapsed="false">
      <c r="P264" s="23" t="str">
        <f aca="false">IF(H264="","",IF(H264='Impact Check'!$B$3,COUNTIF($H$3:H264,'Impact Check'!$B$3),""))</f>
        <v/>
      </c>
      <c r="Q264" s="23" t="str">
        <f aca="false">IF(D264="","",IF(D264='Impact Check'!$B$3,COUNTIF($D$3:D264,'Impact Check'!$B$3),""))</f>
        <v/>
      </c>
    </row>
    <row r="265" customFormat="false" ht="15" hidden="false" customHeight="false" outlineLevel="0" collapsed="false">
      <c r="P265" s="23" t="str">
        <f aca="false">IF(H265="","",IF(H265='Impact Check'!$B$3,COUNTIF($H$3:H265,'Impact Check'!$B$3),""))</f>
        <v/>
      </c>
      <c r="Q265" s="23" t="str">
        <f aca="false">IF(D265="","",IF(D265='Impact Check'!$B$3,COUNTIF($D$3:D265,'Impact Check'!$B$3),""))</f>
        <v/>
      </c>
    </row>
    <row r="266" customFormat="false" ht="15" hidden="false" customHeight="false" outlineLevel="0" collapsed="false">
      <c r="P266" s="23" t="str">
        <f aca="false">IF(H266="","",IF(H266='Impact Check'!$B$3,COUNTIF($H$3:H266,'Impact Check'!$B$3),""))</f>
        <v/>
      </c>
      <c r="Q266" s="23" t="str">
        <f aca="false">IF(D266="","",IF(D266='Impact Check'!$B$3,COUNTIF($D$3:D266,'Impact Check'!$B$3),""))</f>
        <v/>
      </c>
    </row>
    <row r="267" customFormat="false" ht="15" hidden="false" customHeight="false" outlineLevel="0" collapsed="false">
      <c r="P267" s="23" t="str">
        <f aca="false">IF(H267="","",IF(H267='Impact Check'!$B$3,COUNTIF($H$3:H267,'Impact Check'!$B$3),""))</f>
        <v/>
      </c>
      <c r="Q267" s="23" t="str">
        <f aca="false">IF(D267="","",IF(D267='Impact Check'!$B$3,COUNTIF($D$3:D267,'Impact Check'!$B$3),""))</f>
        <v/>
      </c>
    </row>
    <row r="268" customFormat="false" ht="15" hidden="false" customHeight="false" outlineLevel="0" collapsed="false">
      <c r="P268" s="23" t="str">
        <f aca="false">IF(H268="","",IF(H268='Impact Check'!$B$3,COUNTIF($H$3:H268,'Impact Check'!$B$3),""))</f>
        <v/>
      </c>
      <c r="Q268" s="23" t="str">
        <f aca="false">IF(D268="","",IF(D268='Impact Check'!$B$3,COUNTIF($D$3:D268,'Impact Check'!$B$3),""))</f>
        <v/>
      </c>
    </row>
    <row r="269" customFormat="false" ht="15" hidden="false" customHeight="false" outlineLevel="0" collapsed="false">
      <c r="P269" s="23" t="str">
        <f aca="false">IF(H269="","",IF(H269='Impact Check'!$B$3,COUNTIF($H$3:H269,'Impact Check'!$B$3),""))</f>
        <v/>
      </c>
      <c r="Q269" s="23" t="str">
        <f aca="false">IF(D269="","",IF(D269='Impact Check'!$B$3,COUNTIF($D$3:D269,'Impact Check'!$B$3),""))</f>
        <v/>
      </c>
    </row>
    <row r="270" customFormat="false" ht="15" hidden="false" customHeight="false" outlineLevel="0" collapsed="false">
      <c r="P270" s="23" t="str">
        <f aca="false">IF(H270="","",IF(H270='Impact Check'!$B$3,COUNTIF($H$3:H270,'Impact Check'!$B$3),""))</f>
        <v/>
      </c>
      <c r="Q270" s="23" t="str">
        <f aca="false">IF(D270="","",IF(D270='Impact Check'!$B$3,COUNTIF($D$3:D270,'Impact Check'!$B$3),""))</f>
        <v/>
      </c>
    </row>
    <row r="271" customFormat="false" ht="15" hidden="false" customHeight="false" outlineLevel="0" collapsed="false">
      <c r="P271" s="23" t="str">
        <f aca="false">IF(H271="","",IF(H271='Impact Check'!$B$3,COUNTIF($H$3:H271,'Impact Check'!$B$3),""))</f>
        <v/>
      </c>
      <c r="Q271" s="23" t="str">
        <f aca="false">IF(D271="","",IF(D271='Impact Check'!$B$3,COUNTIF($D$3:D271,'Impact Check'!$B$3),""))</f>
        <v/>
      </c>
    </row>
    <row r="272" customFormat="false" ht="15" hidden="false" customHeight="false" outlineLevel="0" collapsed="false">
      <c r="P272" s="23" t="str">
        <f aca="false">IF(H272="","",IF(H272='Impact Check'!$B$3,COUNTIF($H$3:H272,'Impact Check'!$B$3),""))</f>
        <v/>
      </c>
      <c r="Q272" s="23" t="str">
        <f aca="false">IF(D272="","",IF(D272='Impact Check'!$B$3,COUNTIF($D$3:D272,'Impact Check'!$B$3),""))</f>
        <v/>
      </c>
    </row>
    <row r="273" customFormat="false" ht="15" hidden="false" customHeight="false" outlineLevel="0" collapsed="false">
      <c r="P273" s="23" t="str">
        <f aca="false">IF(H273="","",IF(H273='Impact Check'!$B$3,COUNTIF($H$3:H273,'Impact Check'!$B$3),""))</f>
        <v/>
      </c>
      <c r="Q273" s="23" t="str">
        <f aca="false">IF(D273="","",IF(D273='Impact Check'!$B$3,COUNTIF($D$3:D273,'Impact Check'!$B$3),""))</f>
        <v/>
      </c>
    </row>
    <row r="274" customFormat="false" ht="15" hidden="false" customHeight="false" outlineLevel="0" collapsed="false">
      <c r="P274" s="23" t="str">
        <f aca="false">IF(H274="","",IF(H274='Impact Check'!$B$3,COUNTIF($H$3:H274,'Impact Check'!$B$3),""))</f>
        <v/>
      </c>
      <c r="Q274" s="23" t="str">
        <f aca="false">IF(D274="","",IF(D274='Impact Check'!$B$3,COUNTIF($D$3:D274,'Impact Check'!$B$3),""))</f>
        <v/>
      </c>
    </row>
    <row r="275" customFormat="false" ht="15" hidden="false" customHeight="false" outlineLevel="0" collapsed="false">
      <c r="P275" s="23" t="str">
        <f aca="false">IF(H275="","",IF(H275='Impact Check'!$B$3,COUNTIF($H$3:H275,'Impact Check'!$B$3),""))</f>
        <v/>
      </c>
      <c r="Q275" s="23" t="str">
        <f aca="false">IF(D275="","",IF(D275='Impact Check'!$B$3,COUNTIF($D$3:D275,'Impact Check'!$B$3),""))</f>
        <v/>
      </c>
    </row>
    <row r="276" customFormat="false" ht="15" hidden="false" customHeight="false" outlineLevel="0" collapsed="false">
      <c r="P276" s="23" t="str">
        <f aca="false">IF(H276="","",IF(H276='Impact Check'!$B$3,COUNTIF($H$3:H276,'Impact Check'!$B$3),""))</f>
        <v/>
      </c>
      <c r="Q276" s="23" t="str">
        <f aca="false">IF(D276="","",IF(D276='Impact Check'!$B$3,COUNTIF($D$3:D276,'Impact Check'!$B$3),""))</f>
        <v/>
      </c>
    </row>
    <row r="277" customFormat="false" ht="15" hidden="false" customHeight="false" outlineLevel="0" collapsed="false">
      <c r="P277" s="23" t="str">
        <f aca="false">IF(H277="","",IF(H277='Impact Check'!$B$3,COUNTIF($H$3:H277,'Impact Check'!$B$3),""))</f>
        <v/>
      </c>
      <c r="Q277" s="23" t="str">
        <f aca="false">IF(D277="","",IF(D277='Impact Check'!$B$3,COUNTIF($D$3:D277,'Impact Check'!$B$3),""))</f>
        <v/>
      </c>
    </row>
    <row r="278" customFormat="false" ht="15" hidden="false" customHeight="false" outlineLevel="0" collapsed="false">
      <c r="P278" s="23" t="str">
        <f aca="false">IF(H278="","",IF(H278='Impact Check'!$B$3,COUNTIF($H$3:H278,'Impact Check'!$B$3),""))</f>
        <v/>
      </c>
      <c r="Q278" s="23" t="str">
        <f aca="false">IF(D278="","",IF(D278='Impact Check'!$B$3,COUNTIF($D$3:D278,'Impact Check'!$B$3),""))</f>
        <v/>
      </c>
    </row>
    <row r="279" customFormat="false" ht="15" hidden="false" customHeight="false" outlineLevel="0" collapsed="false">
      <c r="P279" s="23" t="str">
        <f aca="false">IF(H279="","",IF(H279='Impact Check'!$B$3,COUNTIF($H$3:H279,'Impact Check'!$B$3),""))</f>
        <v/>
      </c>
      <c r="Q279" s="23" t="str">
        <f aca="false">IF(D279="","",IF(D279='Impact Check'!$B$3,COUNTIF($D$3:D279,'Impact Check'!$B$3),""))</f>
        <v/>
      </c>
    </row>
    <row r="280" customFormat="false" ht="15" hidden="false" customHeight="false" outlineLevel="0" collapsed="false">
      <c r="P280" s="23" t="str">
        <f aca="false">IF(H280="","",IF(H280='Impact Check'!$B$3,COUNTIF($H$3:H280,'Impact Check'!$B$3),""))</f>
        <v/>
      </c>
      <c r="Q280" s="23" t="str">
        <f aca="false">IF(D280="","",IF(D280='Impact Check'!$B$3,COUNTIF($D$3:D280,'Impact Check'!$B$3),""))</f>
        <v/>
      </c>
    </row>
    <row r="281" customFormat="false" ht="15" hidden="false" customHeight="false" outlineLevel="0" collapsed="false">
      <c r="P281" s="23" t="str">
        <f aca="false">IF(H281="","",IF(H281='Impact Check'!$B$3,COUNTIF($H$3:H281,'Impact Check'!$B$3),""))</f>
        <v/>
      </c>
      <c r="Q281" s="23" t="str">
        <f aca="false">IF(D281="","",IF(D281='Impact Check'!$B$3,COUNTIF($D$3:D281,'Impact Check'!$B$3),""))</f>
        <v/>
      </c>
    </row>
    <row r="282" customFormat="false" ht="15" hidden="false" customHeight="false" outlineLevel="0" collapsed="false">
      <c r="P282" s="23" t="str">
        <f aca="false">IF(H282="","",IF(H282='Impact Check'!$B$3,COUNTIF($H$3:H282,'Impact Check'!$B$3),""))</f>
        <v/>
      </c>
      <c r="Q282" s="23" t="str">
        <f aca="false">IF(D282="","",IF(D282='Impact Check'!$B$3,COUNTIF($D$3:D282,'Impact Check'!$B$3),""))</f>
        <v/>
      </c>
    </row>
    <row r="283" customFormat="false" ht="15" hidden="false" customHeight="false" outlineLevel="0" collapsed="false">
      <c r="P283" s="23" t="str">
        <f aca="false">IF(H283="","",IF(H283='Impact Check'!$B$3,COUNTIF($H$3:H283,'Impact Check'!$B$3),""))</f>
        <v/>
      </c>
      <c r="Q283" s="23" t="str">
        <f aca="false">IF(D283="","",IF(D283='Impact Check'!$B$3,COUNTIF($D$3:D283,'Impact Check'!$B$3),""))</f>
        <v/>
      </c>
    </row>
    <row r="284" customFormat="false" ht="15" hidden="false" customHeight="false" outlineLevel="0" collapsed="false">
      <c r="P284" s="23" t="str">
        <f aca="false">IF(H284="","",IF(H284='Impact Check'!$B$3,COUNTIF($H$3:H284,'Impact Check'!$B$3),""))</f>
        <v/>
      </c>
      <c r="Q284" s="23" t="str">
        <f aca="false">IF(D284="","",IF(D284='Impact Check'!$B$3,COUNTIF($D$3:D284,'Impact Check'!$B$3),""))</f>
        <v/>
      </c>
    </row>
    <row r="285" customFormat="false" ht="15" hidden="false" customHeight="false" outlineLevel="0" collapsed="false">
      <c r="P285" s="23" t="str">
        <f aca="false">IF(H285="","",IF(H285='Impact Check'!$B$3,COUNTIF($H$3:H285,'Impact Check'!$B$3),""))</f>
        <v/>
      </c>
      <c r="Q285" s="23" t="str">
        <f aca="false">IF(D285="","",IF(D285='Impact Check'!$B$3,COUNTIF($D$3:D285,'Impact Check'!$B$3),""))</f>
        <v/>
      </c>
    </row>
    <row r="286" customFormat="false" ht="15" hidden="false" customHeight="false" outlineLevel="0" collapsed="false">
      <c r="P286" s="23" t="str">
        <f aca="false">IF(H286="","",IF(H286='Impact Check'!$B$3,COUNTIF($H$3:H286,'Impact Check'!$B$3),""))</f>
        <v/>
      </c>
      <c r="Q286" s="23" t="str">
        <f aca="false">IF(D286="","",IF(D286='Impact Check'!$B$3,COUNTIF($D$3:D286,'Impact Check'!$B$3),""))</f>
        <v/>
      </c>
    </row>
    <row r="287" customFormat="false" ht="15" hidden="false" customHeight="false" outlineLevel="0" collapsed="false">
      <c r="P287" s="23" t="str">
        <f aca="false">IF(H287="","",IF(H287='Impact Check'!$B$3,COUNTIF($H$3:H287,'Impact Check'!$B$3),""))</f>
        <v/>
      </c>
      <c r="Q287" s="23" t="str">
        <f aca="false">IF(D287="","",IF(D287='Impact Check'!$B$3,COUNTIF($D$3:D287,'Impact Check'!$B$3),""))</f>
        <v/>
      </c>
    </row>
    <row r="288" customFormat="false" ht="15" hidden="false" customHeight="false" outlineLevel="0" collapsed="false">
      <c r="P288" s="23" t="str">
        <f aca="false">IF(H288="","",IF(H288='Impact Check'!$B$3,COUNTIF($H$3:H288,'Impact Check'!$B$3),""))</f>
        <v/>
      </c>
      <c r="Q288" s="23" t="str">
        <f aca="false">IF(D288="","",IF(D288='Impact Check'!$B$3,COUNTIF($D$3:D288,'Impact Check'!$B$3),""))</f>
        <v/>
      </c>
    </row>
    <row r="289" customFormat="false" ht="15" hidden="false" customHeight="false" outlineLevel="0" collapsed="false">
      <c r="P289" s="23" t="str">
        <f aca="false">IF(H289="","",IF(H289='Impact Check'!$B$3,COUNTIF($H$3:H289,'Impact Check'!$B$3),""))</f>
        <v/>
      </c>
      <c r="Q289" s="23" t="str">
        <f aca="false">IF(D289="","",IF(D289='Impact Check'!$B$3,COUNTIF($D$3:D289,'Impact Check'!$B$3),""))</f>
        <v/>
      </c>
    </row>
    <row r="290" customFormat="false" ht="15" hidden="false" customHeight="false" outlineLevel="0" collapsed="false">
      <c r="P290" s="23" t="str">
        <f aca="false">IF(H290="","",IF(H290='Impact Check'!$B$3,COUNTIF($H$3:H290,'Impact Check'!$B$3),""))</f>
        <v/>
      </c>
      <c r="Q290" s="23" t="str">
        <f aca="false">IF(D290="","",IF(D290='Impact Check'!$B$3,COUNTIF($D$3:D290,'Impact Check'!$B$3),""))</f>
        <v/>
      </c>
    </row>
    <row r="291" customFormat="false" ht="15" hidden="false" customHeight="false" outlineLevel="0" collapsed="false">
      <c r="P291" s="23" t="str">
        <f aca="false">IF(H291="","",IF(H291='Impact Check'!$B$3,COUNTIF($H$3:H291,'Impact Check'!$B$3),""))</f>
        <v/>
      </c>
      <c r="Q291" s="23" t="str">
        <f aca="false">IF(D291="","",IF(D291='Impact Check'!$B$3,COUNTIF($D$3:D291,'Impact Check'!$B$3),""))</f>
        <v/>
      </c>
    </row>
    <row r="292" customFormat="false" ht="15" hidden="false" customHeight="false" outlineLevel="0" collapsed="false">
      <c r="P292" s="23" t="str">
        <f aca="false">IF(H292="","",IF(H292='Impact Check'!$B$3,COUNTIF($H$3:H292,'Impact Check'!$B$3),""))</f>
        <v/>
      </c>
      <c r="Q292" s="23" t="str">
        <f aca="false">IF(D292="","",IF(D292='Impact Check'!$B$3,COUNTIF($D$3:D292,'Impact Check'!$B$3),""))</f>
        <v/>
      </c>
    </row>
    <row r="293" customFormat="false" ht="15" hidden="false" customHeight="false" outlineLevel="0" collapsed="false">
      <c r="P293" s="23" t="str">
        <f aca="false">IF(H293="","",IF(H293='Impact Check'!$B$3,COUNTIF($H$3:H293,'Impact Check'!$B$3),""))</f>
        <v/>
      </c>
      <c r="Q293" s="23" t="str">
        <f aca="false">IF(D293="","",IF(D293='Impact Check'!$B$3,COUNTIF($D$3:D293,'Impact Check'!$B$3),""))</f>
        <v/>
      </c>
    </row>
    <row r="294" customFormat="false" ht="15" hidden="false" customHeight="false" outlineLevel="0" collapsed="false">
      <c r="P294" s="23" t="str">
        <f aca="false">IF(H294="","",IF(H294='Impact Check'!$B$3,COUNTIF($H$3:H294,'Impact Check'!$B$3),""))</f>
        <v/>
      </c>
      <c r="Q294" s="23" t="str">
        <f aca="false">IF(D294="","",IF(D294='Impact Check'!$B$3,COUNTIF($D$3:D294,'Impact Check'!$B$3),""))</f>
        <v/>
      </c>
    </row>
    <row r="295" customFormat="false" ht="15" hidden="false" customHeight="false" outlineLevel="0" collapsed="false">
      <c r="P295" s="23" t="str">
        <f aca="false">IF(H295="","",IF(H295='Impact Check'!$B$3,COUNTIF($H$3:H295,'Impact Check'!$B$3),""))</f>
        <v/>
      </c>
      <c r="Q295" s="23" t="str">
        <f aca="false">IF(D295="","",IF(D295='Impact Check'!$B$3,COUNTIF($D$3:D295,'Impact Check'!$B$3),""))</f>
        <v/>
      </c>
    </row>
    <row r="296" customFormat="false" ht="15" hidden="false" customHeight="false" outlineLevel="0" collapsed="false">
      <c r="P296" s="23" t="str">
        <f aca="false">IF(H296="","",IF(H296='Impact Check'!$B$3,COUNTIF($H$3:H296,'Impact Check'!$B$3),""))</f>
        <v/>
      </c>
      <c r="Q296" s="23" t="str">
        <f aca="false">IF(D296="","",IF(D296='Impact Check'!$B$3,COUNTIF($D$3:D296,'Impact Check'!$B$3),""))</f>
        <v/>
      </c>
    </row>
    <row r="297" customFormat="false" ht="15" hidden="false" customHeight="false" outlineLevel="0" collapsed="false">
      <c r="P297" s="23" t="str">
        <f aca="false">IF(H297="","",IF(H297='Impact Check'!$B$3,COUNTIF($H$3:H297,'Impact Check'!$B$3),""))</f>
        <v/>
      </c>
      <c r="Q297" s="23" t="str">
        <f aca="false">IF(D297="","",IF(D297='Impact Check'!$B$3,COUNTIF($D$3:D297,'Impact Check'!$B$3),""))</f>
        <v/>
      </c>
    </row>
    <row r="298" customFormat="false" ht="15" hidden="false" customHeight="false" outlineLevel="0" collapsed="false">
      <c r="P298" s="23" t="str">
        <f aca="false">IF(H298="","",IF(H298='Impact Check'!$B$3,COUNTIF($H$3:H298,'Impact Check'!$B$3),""))</f>
        <v/>
      </c>
      <c r="Q298" s="23" t="str">
        <f aca="false">IF(D298="","",IF(D298='Impact Check'!$B$3,COUNTIF($D$3:D298,'Impact Check'!$B$3),""))</f>
        <v/>
      </c>
    </row>
    <row r="299" customFormat="false" ht="15" hidden="false" customHeight="false" outlineLevel="0" collapsed="false">
      <c r="P299" s="23" t="str">
        <f aca="false">IF(H299="","",IF(H299='Impact Check'!$B$3,COUNTIF($H$3:H299,'Impact Check'!$B$3),""))</f>
        <v/>
      </c>
      <c r="Q299" s="23" t="str">
        <f aca="false">IF(D299="","",IF(D299='Impact Check'!$B$3,COUNTIF($D$3:D299,'Impact Check'!$B$3),""))</f>
        <v/>
      </c>
    </row>
    <row r="300" customFormat="false" ht="15" hidden="false" customHeight="false" outlineLevel="0" collapsed="false">
      <c r="P300" s="23" t="str">
        <f aca="false">IF(H300="","",IF(H300='Impact Check'!$B$3,COUNTIF($H$3:H300,'Impact Check'!$B$3),""))</f>
        <v/>
      </c>
      <c r="Q300" s="23" t="str">
        <f aca="false">IF(D300="","",IF(D300='Impact Check'!$B$3,COUNTIF($D$3:D300,'Impact Check'!$B$3),""))</f>
        <v/>
      </c>
    </row>
    <row r="301" customFormat="false" ht="15" hidden="false" customHeight="false" outlineLevel="0" collapsed="false">
      <c r="P301" s="23" t="str">
        <f aca="false">IF(H301="","",IF(H301='Impact Check'!$B$3,COUNTIF($H$3:H301,'Impact Check'!$B$3),""))</f>
        <v/>
      </c>
      <c r="Q301" s="23" t="str">
        <f aca="false">IF(D301="","",IF(D301='Impact Check'!$B$3,COUNTIF($D$3:D301,'Impact Check'!$B$3),""))</f>
        <v/>
      </c>
    </row>
    <row r="302" customFormat="false" ht="15" hidden="false" customHeight="false" outlineLevel="0" collapsed="false">
      <c r="P302" s="23" t="str">
        <f aca="false">IF(H302="","",IF(H302='Impact Check'!$B$3,COUNTIF($H$3:H302,'Impact Check'!$B$3),""))</f>
        <v/>
      </c>
      <c r="Q302" s="23" t="str">
        <f aca="false">IF(D302="","",IF(D302='Impact Check'!$B$3,COUNTIF($D$3:D302,'Impact Check'!$B$3),""))</f>
        <v/>
      </c>
    </row>
    <row r="303" customFormat="false" ht="15" hidden="false" customHeight="false" outlineLevel="0" collapsed="false">
      <c r="P303" s="23" t="str">
        <f aca="false">IF(H303="","",IF(H303='Impact Check'!$B$3,COUNTIF($H$3:H303,'Impact Check'!$B$3),""))</f>
        <v/>
      </c>
      <c r="Q303" s="23" t="str">
        <f aca="false">IF(D303="","",IF(D303='Impact Check'!$B$3,COUNTIF($D$3:D303,'Impact Check'!$B$3),""))</f>
        <v/>
      </c>
    </row>
    <row r="304" customFormat="false" ht="15" hidden="false" customHeight="false" outlineLevel="0" collapsed="false">
      <c r="P304" s="23" t="str">
        <f aca="false">IF(H304="","",IF(H304='Impact Check'!$B$3,COUNTIF($H$3:H304,'Impact Check'!$B$3),""))</f>
        <v/>
      </c>
      <c r="Q304" s="23" t="str">
        <f aca="false">IF(D304="","",IF(D304='Impact Check'!$B$3,COUNTIF($D$3:D304,'Impact Check'!$B$3),""))</f>
        <v/>
      </c>
    </row>
    <row r="305" customFormat="false" ht="15" hidden="false" customHeight="false" outlineLevel="0" collapsed="false">
      <c r="P305" s="23" t="str">
        <f aca="false">IF(H305="","",IF(H305='Impact Check'!$B$3,COUNTIF($H$3:H305,'Impact Check'!$B$3),""))</f>
        <v/>
      </c>
      <c r="Q305" s="23" t="str">
        <f aca="false">IF(D305="","",IF(D305='Impact Check'!$B$3,COUNTIF($D$3:D305,'Impact Check'!$B$3),""))</f>
        <v/>
      </c>
    </row>
    <row r="306" customFormat="false" ht="15" hidden="false" customHeight="false" outlineLevel="0" collapsed="false">
      <c r="P306" s="23" t="str">
        <f aca="false">IF(H306="","",IF(H306='Impact Check'!$B$3,COUNTIF($H$3:H306,'Impact Check'!$B$3),""))</f>
        <v/>
      </c>
      <c r="Q306" s="23" t="str">
        <f aca="false">IF(D306="","",IF(D306='Impact Check'!$B$3,COUNTIF($D$3:D306,'Impact Check'!$B$3),""))</f>
        <v/>
      </c>
    </row>
    <row r="307" customFormat="false" ht="15" hidden="false" customHeight="false" outlineLevel="0" collapsed="false">
      <c r="P307" s="23" t="str">
        <f aca="false">IF(H307="","",IF(H307='Impact Check'!$B$3,COUNTIF($H$3:H307,'Impact Check'!$B$3),""))</f>
        <v/>
      </c>
      <c r="Q307" s="23" t="str">
        <f aca="false">IF(D307="","",IF(D307='Impact Check'!$B$3,COUNTIF($D$3:D307,'Impact Check'!$B$3),""))</f>
        <v/>
      </c>
    </row>
    <row r="308" customFormat="false" ht="15" hidden="false" customHeight="false" outlineLevel="0" collapsed="false">
      <c r="P308" s="23" t="str">
        <f aca="false">IF(H308="","",IF(H308='Impact Check'!$B$3,COUNTIF($H$3:H308,'Impact Check'!$B$3),""))</f>
        <v/>
      </c>
      <c r="Q308" s="23" t="str">
        <f aca="false">IF(D308="","",IF(D308='Impact Check'!$B$3,COUNTIF($D$3:D308,'Impact Check'!$B$3),""))</f>
        <v/>
      </c>
    </row>
    <row r="309" customFormat="false" ht="15" hidden="false" customHeight="false" outlineLevel="0" collapsed="false">
      <c r="P309" s="23" t="str">
        <f aca="false">IF(H309="","",IF(H309='Impact Check'!$B$3,COUNTIF($H$3:H309,'Impact Check'!$B$3),""))</f>
        <v/>
      </c>
      <c r="Q309" s="23" t="str">
        <f aca="false">IF(D309="","",IF(D309='Impact Check'!$B$3,COUNTIF($D$3:D309,'Impact Check'!$B$3),""))</f>
        <v/>
      </c>
    </row>
    <row r="310" customFormat="false" ht="15" hidden="false" customHeight="false" outlineLevel="0" collapsed="false">
      <c r="P310" s="23" t="str">
        <f aca="false">IF(H310="","",IF(H310='Impact Check'!$B$3,COUNTIF($H$3:H310,'Impact Check'!$B$3),""))</f>
        <v/>
      </c>
      <c r="Q310" s="23" t="str">
        <f aca="false">IF(D310="","",IF(D310='Impact Check'!$B$3,COUNTIF($D$3:D310,'Impact Check'!$B$3),""))</f>
        <v/>
      </c>
    </row>
    <row r="311" customFormat="false" ht="15" hidden="false" customHeight="false" outlineLevel="0" collapsed="false">
      <c r="P311" s="23" t="str">
        <f aca="false">IF(H311="","",IF(H311='Impact Check'!$B$3,COUNTIF($H$3:H311,'Impact Check'!$B$3),""))</f>
        <v/>
      </c>
      <c r="Q311" s="23" t="str">
        <f aca="false">IF(D311="","",IF(D311='Impact Check'!$B$3,COUNTIF($D$3:D311,'Impact Check'!$B$3),""))</f>
        <v/>
      </c>
    </row>
    <row r="312" customFormat="false" ht="15" hidden="false" customHeight="false" outlineLevel="0" collapsed="false">
      <c r="P312" s="23" t="str">
        <f aca="false">IF(H312="","",IF(H312='Impact Check'!$B$3,COUNTIF($H$3:H312,'Impact Check'!$B$3),""))</f>
        <v/>
      </c>
      <c r="Q312" s="23" t="str">
        <f aca="false">IF(D312="","",IF(D312='Impact Check'!$B$3,COUNTIF($D$3:D312,'Impact Check'!$B$3),""))</f>
        <v/>
      </c>
    </row>
    <row r="313" customFormat="false" ht="15" hidden="false" customHeight="false" outlineLevel="0" collapsed="false">
      <c r="P313" s="23" t="str">
        <f aca="false">IF(H313="","",IF(H313='Impact Check'!$B$3,COUNTIF($H$3:H313,'Impact Check'!$B$3),""))</f>
        <v/>
      </c>
      <c r="Q313" s="23" t="str">
        <f aca="false">IF(D313="","",IF(D313='Impact Check'!$B$3,COUNTIF($D$3:D313,'Impact Check'!$B$3),""))</f>
        <v/>
      </c>
    </row>
    <row r="314" customFormat="false" ht="15" hidden="false" customHeight="false" outlineLevel="0" collapsed="false">
      <c r="P314" s="23" t="str">
        <f aca="false">IF(H314="","",IF(H314='Impact Check'!$B$3,COUNTIF($H$3:H314,'Impact Check'!$B$3),""))</f>
        <v/>
      </c>
      <c r="Q314" s="23" t="str">
        <f aca="false">IF(D314="","",IF(D314='Impact Check'!$B$3,COUNTIF($D$3:D314,'Impact Check'!$B$3),""))</f>
        <v/>
      </c>
    </row>
    <row r="315" customFormat="false" ht="15" hidden="false" customHeight="false" outlineLevel="0" collapsed="false">
      <c r="P315" s="23" t="str">
        <f aca="false">IF(H315="","",IF(H315='Impact Check'!$B$3,COUNTIF($H$3:H315,'Impact Check'!$B$3),""))</f>
        <v/>
      </c>
      <c r="Q315" s="23" t="str">
        <f aca="false">IF(D315="","",IF(D315='Impact Check'!$B$3,COUNTIF($D$3:D315,'Impact Check'!$B$3),""))</f>
        <v/>
      </c>
    </row>
    <row r="316" customFormat="false" ht="15" hidden="false" customHeight="false" outlineLevel="0" collapsed="false">
      <c r="P316" s="23" t="str">
        <f aca="false">IF(H316="","",IF(H316='Impact Check'!$B$3,COUNTIF($H$3:H316,'Impact Check'!$B$3),""))</f>
        <v/>
      </c>
      <c r="Q316" s="23" t="str">
        <f aca="false">IF(D316="","",IF(D316='Impact Check'!$B$3,COUNTIF($D$3:D316,'Impact Check'!$B$3),""))</f>
        <v/>
      </c>
    </row>
    <row r="317" customFormat="false" ht="15" hidden="false" customHeight="false" outlineLevel="0" collapsed="false">
      <c r="P317" s="23" t="str">
        <f aca="false">IF(H317="","",IF(H317='Impact Check'!$B$3,COUNTIF($H$3:H317,'Impact Check'!$B$3),""))</f>
        <v/>
      </c>
      <c r="Q317" s="23" t="str">
        <f aca="false">IF(D317="","",IF(D317='Impact Check'!$B$3,COUNTIF($D$3:D317,'Impact Check'!$B$3),""))</f>
        <v/>
      </c>
    </row>
    <row r="318" customFormat="false" ht="15" hidden="false" customHeight="false" outlineLevel="0" collapsed="false">
      <c r="P318" s="23" t="str">
        <f aca="false">IF(H318="","",IF(H318='Impact Check'!$B$3,COUNTIF($H$3:H318,'Impact Check'!$B$3),""))</f>
        <v/>
      </c>
      <c r="Q318" s="23" t="str">
        <f aca="false">IF(D318="","",IF(D318='Impact Check'!$B$3,COUNTIF($D$3:D318,'Impact Check'!$B$3),""))</f>
        <v/>
      </c>
    </row>
    <row r="319" customFormat="false" ht="15" hidden="false" customHeight="false" outlineLevel="0" collapsed="false">
      <c r="P319" s="23" t="str">
        <f aca="false">IF(H319="","",IF(H319='Impact Check'!$B$3,COUNTIF($H$3:H319,'Impact Check'!$B$3),""))</f>
        <v/>
      </c>
      <c r="Q319" s="23" t="str">
        <f aca="false">IF(D319="","",IF(D319='Impact Check'!$B$3,COUNTIF($D$3:D319,'Impact Check'!$B$3),""))</f>
        <v/>
      </c>
    </row>
    <row r="320" customFormat="false" ht="15" hidden="false" customHeight="false" outlineLevel="0" collapsed="false">
      <c r="P320" s="23" t="str">
        <f aca="false">IF(H320="","",IF(H320='Impact Check'!$B$3,COUNTIF($H$3:H320,'Impact Check'!$B$3),""))</f>
        <v/>
      </c>
      <c r="Q320" s="23" t="str">
        <f aca="false">IF(D320="","",IF(D320='Impact Check'!$B$3,COUNTIF($D$3:D320,'Impact Check'!$B$3),""))</f>
        <v/>
      </c>
    </row>
    <row r="321" customFormat="false" ht="15" hidden="false" customHeight="false" outlineLevel="0" collapsed="false">
      <c r="P321" s="23" t="str">
        <f aca="false">IF(H321="","",IF(H321='Impact Check'!$B$3,COUNTIF($H$3:H321,'Impact Check'!$B$3),""))</f>
        <v/>
      </c>
      <c r="Q321" s="23" t="str">
        <f aca="false">IF(D321="","",IF(D321='Impact Check'!$B$3,COUNTIF($D$3:D321,'Impact Check'!$B$3),""))</f>
        <v/>
      </c>
    </row>
    <row r="322" customFormat="false" ht="15" hidden="false" customHeight="false" outlineLevel="0" collapsed="false">
      <c r="P322" s="23" t="str">
        <f aca="false">IF(H322="","",IF(H322='Impact Check'!$B$3,COUNTIF($H$3:H322,'Impact Check'!$B$3),""))</f>
        <v/>
      </c>
      <c r="Q322" s="23" t="str">
        <f aca="false">IF(D322="","",IF(D322='Impact Check'!$B$3,COUNTIF($D$3:D322,'Impact Check'!$B$3),""))</f>
        <v/>
      </c>
    </row>
    <row r="323" customFormat="false" ht="15" hidden="false" customHeight="false" outlineLevel="0" collapsed="false">
      <c r="P323" s="23" t="str">
        <f aca="false">IF(H323="","",IF(H323='Impact Check'!$B$3,COUNTIF($H$3:H323,'Impact Check'!$B$3),""))</f>
        <v/>
      </c>
      <c r="Q323" s="23" t="str">
        <f aca="false">IF(D323="","",IF(D323='Impact Check'!$B$3,COUNTIF($D$3:D323,'Impact Check'!$B$3),""))</f>
        <v/>
      </c>
    </row>
    <row r="324" customFormat="false" ht="15" hidden="false" customHeight="false" outlineLevel="0" collapsed="false">
      <c r="P324" s="23" t="str">
        <f aca="false">IF(H324="","",IF(H324='Impact Check'!$B$3,COUNTIF($H$3:H324,'Impact Check'!$B$3),""))</f>
        <v/>
      </c>
      <c r="Q324" s="23" t="str">
        <f aca="false">IF(D324="","",IF(D324='Impact Check'!$B$3,COUNTIF($D$3:D324,'Impact Check'!$B$3),""))</f>
        <v/>
      </c>
    </row>
    <row r="325" customFormat="false" ht="15" hidden="false" customHeight="false" outlineLevel="0" collapsed="false">
      <c r="P325" s="23" t="str">
        <f aca="false">IF(H325="","",IF(H325='Impact Check'!$B$3,COUNTIF($H$3:H325,'Impact Check'!$B$3),""))</f>
        <v/>
      </c>
      <c r="Q325" s="23" t="str">
        <f aca="false">IF(D325="","",IF(D325='Impact Check'!$B$3,COUNTIF($D$3:D325,'Impact Check'!$B$3),""))</f>
        <v/>
      </c>
    </row>
    <row r="326" customFormat="false" ht="15" hidden="false" customHeight="false" outlineLevel="0" collapsed="false">
      <c r="P326" s="23" t="str">
        <f aca="false">IF(H326="","",IF(H326='Impact Check'!$B$3,COUNTIF($H$3:H326,'Impact Check'!$B$3),""))</f>
        <v/>
      </c>
      <c r="Q326" s="23" t="str">
        <f aca="false">IF(D326="","",IF(D326='Impact Check'!$B$3,COUNTIF($D$3:D326,'Impact Check'!$B$3),""))</f>
        <v/>
      </c>
    </row>
    <row r="327" customFormat="false" ht="15" hidden="false" customHeight="false" outlineLevel="0" collapsed="false">
      <c r="P327" s="23" t="str">
        <f aca="false">IF(H327="","",IF(H327='Impact Check'!$B$3,COUNTIF($H$3:H327,'Impact Check'!$B$3),""))</f>
        <v/>
      </c>
      <c r="Q327" s="23" t="str">
        <f aca="false">IF(D327="","",IF(D327='Impact Check'!$B$3,COUNTIF($D$3:D327,'Impact Check'!$B$3),""))</f>
        <v/>
      </c>
    </row>
    <row r="328" customFormat="false" ht="15" hidden="false" customHeight="false" outlineLevel="0" collapsed="false">
      <c r="P328" s="23" t="str">
        <f aca="false">IF(H328="","",IF(H328='Impact Check'!$B$3,COUNTIF($H$3:H328,'Impact Check'!$B$3),""))</f>
        <v/>
      </c>
      <c r="Q328" s="23" t="str">
        <f aca="false">IF(D328="","",IF(D328='Impact Check'!$B$3,COUNTIF($D$3:D328,'Impact Check'!$B$3),""))</f>
        <v/>
      </c>
    </row>
    <row r="329" customFormat="false" ht="15" hidden="false" customHeight="false" outlineLevel="0" collapsed="false">
      <c r="P329" s="23" t="str">
        <f aca="false">IF(H329="","",IF(H329='Impact Check'!$B$3,COUNTIF($H$3:H329,'Impact Check'!$B$3),""))</f>
        <v/>
      </c>
      <c r="Q329" s="23" t="str">
        <f aca="false">IF(D329="","",IF(D329='Impact Check'!$B$3,COUNTIF($D$3:D329,'Impact Check'!$B$3),""))</f>
        <v/>
      </c>
    </row>
    <row r="330" customFormat="false" ht="15" hidden="false" customHeight="false" outlineLevel="0" collapsed="false">
      <c r="P330" s="23" t="str">
        <f aca="false">IF(H330="","",IF(H330='Impact Check'!$B$3,COUNTIF($H$3:H330,'Impact Check'!$B$3),""))</f>
        <v/>
      </c>
      <c r="Q330" s="23" t="str">
        <f aca="false">IF(D330="","",IF(D330='Impact Check'!$B$3,COUNTIF($D$3:D330,'Impact Check'!$B$3),""))</f>
        <v/>
      </c>
    </row>
    <row r="331" customFormat="false" ht="15" hidden="false" customHeight="false" outlineLevel="0" collapsed="false">
      <c r="P331" s="23" t="str">
        <f aca="false">IF(H331="","",IF(H331='Impact Check'!$B$3,COUNTIF($H$3:H331,'Impact Check'!$B$3),""))</f>
        <v/>
      </c>
      <c r="Q331" s="23" t="str">
        <f aca="false">IF(D331="","",IF(D331='Impact Check'!$B$3,COUNTIF($D$3:D331,'Impact Check'!$B$3),""))</f>
        <v/>
      </c>
    </row>
    <row r="332" customFormat="false" ht="15" hidden="false" customHeight="false" outlineLevel="0" collapsed="false">
      <c r="P332" s="23" t="str">
        <f aca="false">IF(H332="","",IF(H332='Impact Check'!$B$3,COUNTIF($H$3:H332,'Impact Check'!$B$3),""))</f>
        <v/>
      </c>
      <c r="Q332" s="23" t="str">
        <f aca="false">IF(D332="","",IF(D332='Impact Check'!$B$3,COUNTIF($D$3:D332,'Impact Check'!$B$3),""))</f>
        <v/>
      </c>
    </row>
    <row r="333" customFormat="false" ht="15" hidden="false" customHeight="false" outlineLevel="0" collapsed="false">
      <c r="P333" s="23" t="str">
        <f aca="false">IF(H333="","",IF(H333='Impact Check'!$B$3,COUNTIF($H$3:H333,'Impact Check'!$B$3),""))</f>
        <v/>
      </c>
      <c r="Q333" s="23" t="str">
        <f aca="false">IF(D333="","",IF(D333='Impact Check'!$B$3,COUNTIF($D$3:D333,'Impact Check'!$B$3),""))</f>
        <v/>
      </c>
    </row>
    <row r="334" customFormat="false" ht="15" hidden="false" customHeight="false" outlineLevel="0" collapsed="false">
      <c r="P334" s="23" t="str">
        <f aca="false">IF(H334="","",IF(H334='Impact Check'!$B$3,COUNTIF($H$3:H334,'Impact Check'!$B$3),""))</f>
        <v/>
      </c>
      <c r="Q334" s="23" t="str">
        <f aca="false">IF(D334="","",IF(D334='Impact Check'!$B$3,COUNTIF($D$3:D334,'Impact Check'!$B$3),""))</f>
        <v/>
      </c>
    </row>
    <row r="335" customFormat="false" ht="15" hidden="false" customHeight="false" outlineLevel="0" collapsed="false">
      <c r="P335" s="23" t="str">
        <f aca="false">IF(H335="","",IF(H335='Impact Check'!$B$3,COUNTIF($H$3:H335,'Impact Check'!$B$3),""))</f>
        <v/>
      </c>
      <c r="Q335" s="23" t="str">
        <f aca="false">IF(D335="","",IF(D335='Impact Check'!$B$3,COUNTIF($D$3:D335,'Impact Check'!$B$3),""))</f>
        <v/>
      </c>
    </row>
    <row r="336" customFormat="false" ht="15" hidden="false" customHeight="false" outlineLevel="0" collapsed="false">
      <c r="P336" s="23" t="str">
        <f aca="false">IF(H336="","",IF(H336='Impact Check'!$B$3,COUNTIF($H$3:H336,'Impact Check'!$B$3),""))</f>
        <v/>
      </c>
      <c r="Q336" s="23" t="str">
        <f aca="false">IF(D336="","",IF(D336='Impact Check'!$B$3,COUNTIF($D$3:D336,'Impact Check'!$B$3),""))</f>
        <v/>
      </c>
    </row>
    <row r="337" customFormat="false" ht="15" hidden="false" customHeight="false" outlineLevel="0" collapsed="false">
      <c r="P337" s="23" t="str">
        <f aca="false">IF(H337="","",IF(H337='Impact Check'!$B$3,COUNTIF($H$3:H337,'Impact Check'!$B$3),""))</f>
        <v/>
      </c>
      <c r="Q337" s="23" t="str">
        <f aca="false">IF(D337="","",IF(D337='Impact Check'!$B$3,COUNTIF($D$3:D337,'Impact Check'!$B$3),""))</f>
        <v/>
      </c>
    </row>
    <row r="338" customFormat="false" ht="15" hidden="false" customHeight="false" outlineLevel="0" collapsed="false">
      <c r="P338" s="23" t="str">
        <f aca="false">IF(H338="","",IF(H338='Impact Check'!$B$3,COUNTIF($H$3:H338,'Impact Check'!$B$3),""))</f>
        <v/>
      </c>
      <c r="Q338" s="23" t="str">
        <f aca="false">IF(D338="","",IF(D338='Impact Check'!$B$3,COUNTIF($D$3:D338,'Impact Check'!$B$3),""))</f>
        <v/>
      </c>
    </row>
    <row r="339" customFormat="false" ht="15" hidden="false" customHeight="false" outlineLevel="0" collapsed="false">
      <c r="P339" s="23" t="str">
        <f aca="false">IF(H339="","",IF(H339='Impact Check'!$B$3,COUNTIF($H$3:H339,'Impact Check'!$B$3),""))</f>
        <v/>
      </c>
      <c r="Q339" s="23" t="str">
        <f aca="false">IF(D339="","",IF(D339='Impact Check'!$B$3,COUNTIF($D$3:D339,'Impact Check'!$B$3),""))</f>
        <v/>
      </c>
    </row>
    <row r="340" customFormat="false" ht="15" hidden="false" customHeight="false" outlineLevel="0" collapsed="false">
      <c r="P340" s="23" t="str">
        <f aca="false">IF(H340="","",IF(H340='Impact Check'!$B$3,COUNTIF($H$3:H340,'Impact Check'!$B$3),""))</f>
        <v/>
      </c>
      <c r="Q340" s="23" t="str">
        <f aca="false">IF(D340="","",IF(D340='Impact Check'!$B$3,COUNTIF($D$3:D340,'Impact Check'!$B$3),""))</f>
        <v/>
      </c>
    </row>
    <row r="341" customFormat="false" ht="15" hidden="false" customHeight="false" outlineLevel="0" collapsed="false">
      <c r="P341" s="23" t="str">
        <f aca="false">IF(H341="","",IF(H341='Impact Check'!$B$3,COUNTIF($H$3:H341,'Impact Check'!$B$3),""))</f>
        <v/>
      </c>
      <c r="Q341" s="23" t="str">
        <f aca="false">IF(D341="","",IF(D341='Impact Check'!$B$3,COUNTIF($D$3:D341,'Impact Check'!$B$3),""))</f>
        <v/>
      </c>
    </row>
    <row r="342" customFormat="false" ht="15" hidden="false" customHeight="false" outlineLevel="0" collapsed="false">
      <c r="P342" s="23" t="str">
        <f aca="false">IF(H342="","",IF(H342='Impact Check'!$B$3,COUNTIF($H$3:H342,'Impact Check'!$B$3),""))</f>
        <v/>
      </c>
      <c r="Q342" s="23" t="str">
        <f aca="false">IF(D342="","",IF(D342='Impact Check'!$B$3,COUNTIF($D$3:D342,'Impact Check'!$B$3),""))</f>
        <v/>
      </c>
    </row>
    <row r="343" customFormat="false" ht="15" hidden="false" customHeight="false" outlineLevel="0" collapsed="false">
      <c r="P343" s="23" t="str">
        <f aca="false">IF(H343="","",IF(H343='Impact Check'!$B$3,COUNTIF($H$3:H343,'Impact Check'!$B$3),""))</f>
        <v/>
      </c>
      <c r="Q343" s="23" t="str">
        <f aca="false">IF(D343="","",IF(D343='Impact Check'!$B$3,COUNTIF($D$3:D343,'Impact Check'!$B$3),""))</f>
        <v/>
      </c>
    </row>
    <row r="344" customFormat="false" ht="15" hidden="false" customHeight="false" outlineLevel="0" collapsed="false">
      <c r="P344" s="23" t="str">
        <f aca="false">IF(H344="","",IF(H344='Impact Check'!$B$3,COUNTIF($H$3:H344,'Impact Check'!$B$3),""))</f>
        <v/>
      </c>
      <c r="Q344" s="23" t="str">
        <f aca="false">IF(D344="","",IF(D344='Impact Check'!$B$3,COUNTIF($D$3:D344,'Impact Check'!$B$3),""))</f>
        <v/>
      </c>
    </row>
    <row r="345" customFormat="false" ht="15" hidden="false" customHeight="false" outlineLevel="0" collapsed="false">
      <c r="P345" s="23" t="str">
        <f aca="false">IF(H345="","",IF(H345='Impact Check'!$B$3,COUNTIF($H$3:H345,'Impact Check'!$B$3),""))</f>
        <v/>
      </c>
      <c r="Q345" s="23" t="str">
        <f aca="false">IF(D345="","",IF(D345='Impact Check'!$B$3,COUNTIF($D$3:D345,'Impact Check'!$B$3),""))</f>
        <v/>
      </c>
    </row>
    <row r="346" customFormat="false" ht="15" hidden="false" customHeight="false" outlineLevel="0" collapsed="false">
      <c r="P346" s="23" t="str">
        <f aca="false">IF(H346="","",IF(H346='Impact Check'!$B$3,COUNTIF($H$3:H346,'Impact Check'!$B$3),""))</f>
        <v/>
      </c>
      <c r="Q346" s="23" t="str">
        <f aca="false">IF(D346="","",IF(D346='Impact Check'!$B$3,COUNTIF($D$3:D346,'Impact Check'!$B$3),""))</f>
        <v/>
      </c>
    </row>
    <row r="347" customFormat="false" ht="15" hidden="false" customHeight="false" outlineLevel="0" collapsed="false">
      <c r="P347" s="23" t="str">
        <f aca="false">IF(H347="","",IF(H347='Impact Check'!$B$3,COUNTIF($H$3:H347,'Impact Check'!$B$3),""))</f>
        <v/>
      </c>
      <c r="Q347" s="23" t="str">
        <f aca="false">IF(D347="","",IF(D347='Impact Check'!$B$3,COUNTIF($D$3:D347,'Impact Check'!$B$3),""))</f>
        <v/>
      </c>
    </row>
    <row r="348" customFormat="false" ht="15" hidden="false" customHeight="false" outlineLevel="0" collapsed="false">
      <c r="P348" s="23" t="str">
        <f aca="false">IF(H348="","",IF(H348='Impact Check'!$B$3,COUNTIF($H$3:H348,'Impact Check'!$B$3),""))</f>
        <v/>
      </c>
      <c r="Q348" s="23" t="str">
        <f aca="false">IF(D348="","",IF(D348='Impact Check'!$B$3,COUNTIF($D$3:D348,'Impact Check'!$B$3),""))</f>
        <v/>
      </c>
    </row>
    <row r="349" customFormat="false" ht="15" hidden="false" customHeight="false" outlineLevel="0" collapsed="false">
      <c r="P349" s="23" t="str">
        <f aca="false">IF(H349="","",IF(H349='Impact Check'!$B$3,COUNTIF($H$3:H349,'Impact Check'!$B$3),""))</f>
        <v/>
      </c>
      <c r="Q349" s="23" t="str">
        <f aca="false">IF(D349="","",IF(D349='Impact Check'!$B$3,COUNTIF($D$3:D349,'Impact Check'!$B$3),""))</f>
        <v/>
      </c>
    </row>
    <row r="350" customFormat="false" ht="15" hidden="false" customHeight="false" outlineLevel="0" collapsed="false">
      <c r="P350" s="23" t="str">
        <f aca="false">IF(H350="","",IF(H350='Impact Check'!$B$3,COUNTIF($H$3:H350,'Impact Check'!$B$3),""))</f>
        <v/>
      </c>
      <c r="Q350" s="23" t="str">
        <f aca="false">IF(D350="","",IF(D350='Impact Check'!$B$3,COUNTIF($D$3:D350,'Impact Check'!$B$3),""))</f>
        <v/>
      </c>
    </row>
    <row r="351" customFormat="false" ht="15" hidden="false" customHeight="false" outlineLevel="0" collapsed="false">
      <c r="P351" s="23" t="str">
        <f aca="false">IF(H351="","",IF(H351='Impact Check'!$B$3,COUNTIF($H$3:H351,'Impact Check'!$B$3),""))</f>
        <v/>
      </c>
      <c r="Q351" s="23" t="str">
        <f aca="false">IF(D351="","",IF(D351='Impact Check'!$B$3,COUNTIF($D$3:D351,'Impact Check'!$B$3),""))</f>
        <v/>
      </c>
    </row>
    <row r="352" customFormat="false" ht="15" hidden="false" customHeight="false" outlineLevel="0" collapsed="false">
      <c r="P352" s="23" t="str">
        <f aca="false">IF(H352="","",IF(H352='Impact Check'!$B$3,COUNTIF($H$3:H352,'Impact Check'!$B$3),""))</f>
        <v/>
      </c>
      <c r="Q352" s="23" t="str">
        <f aca="false">IF(D352="","",IF(D352='Impact Check'!$B$3,COUNTIF($D$3:D352,'Impact Check'!$B$3),""))</f>
        <v/>
      </c>
    </row>
    <row r="353" customFormat="false" ht="15" hidden="false" customHeight="false" outlineLevel="0" collapsed="false">
      <c r="P353" s="23" t="str">
        <f aca="false">IF(H353="","",IF(H353='Impact Check'!$B$3,COUNTIF($H$3:H353,'Impact Check'!$B$3),""))</f>
        <v/>
      </c>
      <c r="Q353" s="23" t="str">
        <f aca="false">IF(D353="","",IF(D353='Impact Check'!$B$3,COUNTIF($D$3:D353,'Impact Check'!$B$3),""))</f>
        <v/>
      </c>
    </row>
    <row r="354" customFormat="false" ht="15" hidden="false" customHeight="false" outlineLevel="0" collapsed="false">
      <c r="P354" s="23" t="str">
        <f aca="false">IF(H354="","",IF(H354='Impact Check'!$B$3,COUNTIF($H$3:H354,'Impact Check'!$B$3),""))</f>
        <v/>
      </c>
      <c r="Q354" s="23" t="str">
        <f aca="false">IF(D354="","",IF(D354='Impact Check'!$B$3,COUNTIF($D$3:D354,'Impact Check'!$B$3),""))</f>
        <v/>
      </c>
    </row>
    <row r="355" customFormat="false" ht="15" hidden="false" customHeight="false" outlineLevel="0" collapsed="false">
      <c r="P355" s="23" t="str">
        <f aca="false">IF(H355="","",IF(H355='Impact Check'!$B$3,COUNTIF($H$3:H355,'Impact Check'!$B$3),""))</f>
        <v/>
      </c>
      <c r="Q355" s="23" t="str">
        <f aca="false">IF(D355="","",IF(D355='Impact Check'!$B$3,COUNTIF($D$3:D355,'Impact Check'!$B$3),""))</f>
        <v/>
      </c>
    </row>
    <row r="356" customFormat="false" ht="15" hidden="false" customHeight="false" outlineLevel="0" collapsed="false">
      <c r="P356" s="23" t="str">
        <f aca="false">IF(H356="","",IF(H356='Impact Check'!$B$3,COUNTIF($H$3:H356,'Impact Check'!$B$3),""))</f>
        <v/>
      </c>
      <c r="Q356" s="23" t="str">
        <f aca="false">IF(D356="","",IF(D356='Impact Check'!$B$3,COUNTIF($D$3:D356,'Impact Check'!$B$3),""))</f>
        <v/>
      </c>
    </row>
    <row r="357" customFormat="false" ht="15" hidden="false" customHeight="false" outlineLevel="0" collapsed="false">
      <c r="P357" s="23" t="str">
        <f aca="false">IF(H357="","",IF(H357='Impact Check'!$B$3,COUNTIF($H$3:H357,'Impact Check'!$B$3),""))</f>
        <v/>
      </c>
      <c r="Q357" s="23" t="str">
        <f aca="false">IF(D357="","",IF(D357='Impact Check'!$B$3,COUNTIF($D$3:D357,'Impact Check'!$B$3),""))</f>
        <v/>
      </c>
    </row>
    <row r="358" customFormat="false" ht="15" hidden="false" customHeight="false" outlineLevel="0" collapsed="false">
      <c r="P358" s="23" t="str">
        <f aca="false">IF(H358="","",IF(H358='Impact Check'!$B$3,COUNTIF($H$3:H358,'Impact Check'!$B$3),""))</f>
        <v/>
      </c>
      <c r="Q358" s="23" t="str">
        <f aca="false">IF(D358="","",IF(D358='Impact Check'!$B$3,COUNTIF($D$3:D358,'Impact Check'!$B$3),""))</f>
        <v/>
      </c>
    </row>
    <row r="359" customFormat="false" ht="15" hidden="false" customHeight="false" outlineLevel="0" collapsed="false">
      <c r="P359" s="23" t="str">
        <f aca="false">IF(H359="","",IF(H359='Impact Check'!$B$3,COUNTIF($H$3:H359,'Impact Check'!$B$3),""))</f>
        <v/>
      </c>
      <c r="Q359" s="23" t="str">
        <f aca="false">IF(D359="","",IF(D359='Impact Check'!$B$3,COUNTIF($D$3:D359,'Impact Check'!$B$3),""))</f>
        <v/>
      </c>
    </row>
    <row r="360" customFormat="false" ht="15" hidden="false" customHeight="false" outlineLevel="0" collapsed="false">
      <c r="P360" s="23" t="str">
        <f aca="false">IF(H360="","",IF(H360='Impact Check'!$B$3,COUNTIF($H$3:H360,'Impact Check'!$B$3),""))</f>
        <v/>
      </c>
      <c r="Q360" s="23" t="str">
        <f aca="false">IF(D360="","",IF(D360='Impact Check'!$B$3,COUNTIF($D$3:D360,'Impact Check'!$B$3),""))</f>
        <v/>
      </c>
    </row>
    <row r="361" customFormat="false" ht="15" hidden="false" customHeight="false" outlineLevel="0" collapsed="false">
      <c r="P361" s="23" t="str">
        <f aca="false">IF(H361="","",IF(H361='Impact Check'!$B$3,COUNTIF($H$3:H361,'Impact Check'!$B$3),""))</f>
        <v/>
      </c>
      <c r="Q361" s="23" t="str">
        <f aca="false">IF(D361="","",IF(D361='Impact Check'!$B$3,COUNTIF($D$3:D361,'Impact Check'!$B$3),""))</f>
        <v/>
      </c>
    </row>
    <row r="362" customFormat="false" ht="15" hidden="false" customHeight="false" outlineLevel="0" collapsed="false">
      <c r="P362" s="23" t="str">
        <f aca="false">IF(H362="","",IF(H362='Impact Check'!$B$3,COUNTIF($H$3:H362,'Impact Check'!$B$3),""))</f>
        <v/>
      </c>
      <c r="Q362" s="23" t="str">
        <f aca="false">IF(D362="","",IF(D362='Impact Check'!$B$3,COUNTIF($D$3:D362,'Impact Check'!$B$3),""))</f>
        <v/>
      </c>
    </row>
    <row r="363" customFormat="false" ht="15" hidden="false" customHeight="false" outlineLevel="0" collapsed="false">
      <c r="P363" s="23" t="str">
        <f aca="false">IF(H363="","",IF(H363='Impact Check'!$B$3,COUNTIF($H$3:H363,'Impact Check'!$B$3),""))</f>
        <v/>
      </c>
      <c r="Q363" s="23" t="str">
        <f aca="false">IF(D363="","",IF(D363='Impact Check'!$B$3,COUNTIF($D$3:D363,'Impact Check'!$B$3),""))</f>
        <v/>
      </c>
    </row>
    <row r="364" customFormat="false" ht="15" hidden="false" customHeight="false" outlineLevel="0" collapsed="false">
      <c r="P364" s="23" t="str">
        <f aca="false">IF(H364="","",IF(H364='Impact Check'!$B$3,COUNTIF($H$3:H364,'Impact Check'!$B$3),""))</f>
        <v/>
      </c>
      <c r="Q364" s="23" t="str">
        <f aca="false">IF(D364="","",IF(D364='Impact Check'!$B$3,COUNTIF($D$3:D364,'Impact Check'!$B$3),""))</f>
        <v/>
      </c>
    </row>
    <row r="365" customFormat="false" ht="15" hidden="false" customHeight="false" outlineLevel="0" collapsed="false">
      <c r="P365" s="23" t="str">
        <f aca="false">IF(H365="","",IF(H365='Impact Check'!$B$3,COUNTIF($H$3:H365,'Impact Check'!$B$3),""))</f>
        <v/>
      </c>
      <c r="Q365" s="23" t="str">
        <f aca="false">IF(D365="","",IF(D365='Impact Check'!$B$3,COUNTIF($D$3:D365,'Impact Check'!$B$3),""))</f>
        <v/>
      </c>
    </row>
    <row r="366" customFormat="false" ht="15" hidden="false" customHeight="false" outlineLevel="0" collapsed="false">
      <c r="P366" s="23" t="str">
        <f aca="false">IF(H366="","",IF(H366='Impact Check'!$B$3,COUNTIF($H$3:H366,'Impact Check'!$B$3),""))</f>
        <v/>
      </c>
      <c r="Q366" s="23" t="str">
        <f aca="false">IF(D366="","",IF(D366='Impact Check'!$B$3,COUNTIF($D$3:D366,'Impact Check'!$B$3),""))</f>
        <v/>
      </c>
    </row>
    <row r="367" customFormat="false" ht="15" hidden="false" customHeight="false" outlineLevel="0" collapsed="false">
      <c r="P367" s="23" t="str">
        <f aca="false">IF(H367="","",IF(H367='Impact Check'!$B$3,COUNTIF($H$3:H367,'Impact Check'!$B$3),""))</f>
        <v/>
      </c>
      <c r="Q367" s="23" t="str">
        <f aca="false">IF(D367="","",IF(D367='Impact Check'!$B$3,COUNTIF($D$3:D367,'Impact Check'!$B$3),""))</f>
        <v/>
      </c>
    </row>
    <row r="368" customFormat="false" ht="15" hidden="false" customHeight="false" outlineLevel="0" collapsed="false">
      <c r="P368" s="23" t="str">
        <f aca="false">IF(H368="","",IF(H368='Impact Check'!$B$3,COUNTIF($H$3:H368,'Impact Check'!$B$3),""))</f>
        <v/>
      </c>
      <c r="Q368" s="23" t="str">
        <f aca="false">IF(D368="","",IF(D368='Impact Check'!$B$3,COUNTIF($D$3:D368,'Impact Check'!$B$3),""))</f>
        <v/>
      </c>
    </row>
    <row r="369" customFormat="false" ht="15" hidden="false" customHeight="false" outlineLevel="0" collapsed="false">
      <c r="P369" s="23" t="str">
        <f aca="false">IF(H369="","",IF(H369='Impact Check'!$B$3,COUNTIF($H$3:H369,'Impact Check'!$B$3),""))</f>
        <v/>
      </c>
      <c r="Q369" s="23" t="str">
        <f aca="false">IF(D369="","",IF(D369='Impact Check'!$B$3,COUNTIF($D$3:D369,'Impact Check'!$B$3),""))</f>
        <v/>
      </c>
    </row>
    <row r="370" customFormat="false" ht="15" hidden="false" customHeight="false" outlineLevel="0" collapsed="false">
      <c r="P370" s="23" t="str">
        <f aca="false">IF(H370="","",IF(H370='Impact Check'!$B$3,COUNTIF($H$3:H370,'Impact Check'!$B$3),""))</f>
        <v/>
      </c>
      <c r="Q370" s="23" t="str">
        <f aca="false">IF(D370="","",IF(D370='Impact Check'!$B$3,COUNTIF($D$3:D370,'Impact Check'!$B$3),""))</f>
        <v/>
      </c>
    </row>
    <row r="371" customFormat="false" ht="15" hidden="false" customHeight="false" outlineLevel="0" collapsed="false">
      <c r="P371" s="23" t="str">
        <f aca="false">IF(H371="","",IF(H371='Impact Check'!$B$3,COUNTIF($H$3:H371,'Impact Check'!$B$3),""))</f>
        <v/>
      </c>
      <c r="Q371" s="23" t="str">
        <f aca="false">IF(D371="","",IF(D371='Impact Check'!$B$3,COUNTIF($D$3:D371,'Impact Check'!$B$3),""))</f>
        <v/>
      </c>
    </row>
    <row r="372" customFormat="false" ht="15" hidden="false" customHeight="false" outlineLevel="0" collapsed="false">
      <c r="P372" s="23" t="str">
        <f aca="false">IF(H372="","",IF(H372='Impact Check'!$B$3,COUNTIF($H$3:H372,'Impact Check'!$B$3),""))</f>
        <v/>
      </c>
      <c r="Q372" s="23" t="str">
        <f aca="false">IF(D372="","",IF(D372='Impact Check'!$B$3,COUNTIF($D$3:D372,'Impact Check'!$B$3),""))</f>
        <v/>
      </c>
    </row>
    <row r="373" customFormat="false" ht="15" hidden="false" customHeight="false" outlineLevel="0" collapsed="false">
      <c r="P373" s="23" t="str">
        <f aca="false">IF(H373="","",IF(H373='Impact Check'!$B$3,COUNTIF($H$3:H373,'Impact Check'!$B$3),""))</f>
        <v/>
      </c>
      <c r="Q373" s="23" t="str">
        <f aca="false">IF(D373="","",IF(D373='Impact Check'!$B$3,COUNTIF($D$3:D373,'Impact Check'!$B$3),""))</f>
        <v/>
      </c>
    </row>
    <row r="374" customFormat="false" ht="15" hidden="false" customHeight="false" outlineLevel="0" collapsed="false">
      <c r="P374" s="23" t="str">
        <f aca="false">IF(H374="","",IF(H374='Impact Check'!$B$3,COUNTIF($H$3:H374,'Impact Check'!$B$3),""))</f>
        <v/>
      </c>
      <c r="Q374" s="23" t="str">
        <f aca="false">IF(D374="","",IF(D374='Impact Check'!$B$3,COUNTIF($D$3:D374,'Impact Check'!$B$3),""))</f>
        <v/>
      </c>
    </row>
    <row r="375" customFormat="false" ht="15" hidden="false" customHeight="false" outlineLevel="0" collapsed="false">
      <c r="P375" s="23" t="str">
        <f aca="false">IF(H375="","",IF(H375='Impact Check'!$B$3,COUNTIF($H$3:H375,'Impact Check'!$B$3),""))</f>
        <v/>
      </c>
      <c r="Q375" s="23" t="str">
        <f aca="false">IF(D375="","",IF(D375='Impact Check'!$B$3,COUNTIF($D$3:D375,'Impact Check'!$B$3),""))</f>
        <v/>
      </c>
    </row>
    <row r="376" customFormat="false" ht="15" hidden="false" customHeight="false" outlineLevel="0" collapsed="false">
      <c r="P376" s="23" t="str">
        <f aca="false">IF(H376="","",IF(H376='Impact Check'!$B$3,COUNTIF($H$3:H376,'Impact Check'!$B$3),""))</f>
        <v/>
      </c>
      <c r="Q376" s="23" t="str">
        <f aca="false">IF(D376="","",IF(D376='Impact Check'!$B$3,COUNTIF($D$3:D376,'Impact Check'!$B$3),""))</f>
        <v/>
      </c>
    </row>
    <row r="377" customFormat="false" ht="15" hidden="false" customHeight="false" outlineLevel="0" collapsed="false">
      <c r="P377" s="23" t="str">
        <f aca="false">IF(H377="","",IF(H377='Impact Check'!$B$3,COUNTIF($H$3:H377,'Impact Check'!$B$3),""))</f>
        <v/>
      </c>
      <c r="Q377" s="23" t="str">
        <f aca="false">IF(D377="","",IF(D377='Impact Check'!$B$3,COUNTIF($D$3:D377,'Impact Check'!$B$3),""))</f>
        <v/>
      </c>
    </row>
    <row r="378" customFormat="false" ht="15" hidden="false" customHeight="false" outlineLevel="0" collapsed="false">
      <c r="P378" s="23" t="str">
        <f aca="false">IF(H378="","",IF(H378='Impact Check'!$B$3,COUNTIF($H$3:H378,'Impact Check'!$B$3),""))</f>
        <v/>
      </c>
      <c r="Q378" s="23" t="str">
        <f aca="false">IF(D378="","",IF(D378='Impact Check'!$B$3,COUNTIF($D$3:D378,'Impact Check'!$B$3),""))</f>
        <v/>
      </c>
    </row>
    <row r="379" customFormat="false" ht="15" hidden="false" customHeight="false" outlineLevel="0" collapsed="false">
      <c r="P379" s="23" t="str">
        <f aca="false">IF(H379="","",IF(H379='Impact Check'!$B$3,COUNTIF($H$3:H379,'Impact Check'!$B$3),""))</f>
        <v/>
      </c>
      <c r="Q379" s="23" t="str">
        <f aca="false">IF(D379="","",IF(D379='Impact Check'!$B$3,COUNTIF($D$3:D379,'Impact Check'!$B$3),""))</f>
        <v/>
      </c>
    </row>
    <row r="380" customFormat="false" ht="15" hidden="false" customHeight="false" outlineLevel="0" collapsed="false">
      <c r="P380" s="23" t="str">
        <f aca="false">IF(H380="","",IF(H380='Impact Check'!$B$3,COUNTIF($H$3:H380,'Impact Check'!$B$3),""))</f>
        <v/>
      </c>
      <c r="Q380" s="23" t="str">
        <f aca="false">IF(D380="","",IF(D380='Impact Check'!$B$3,COUNTIF($D$3:D380,'Impact Check'!$B$3),""))</f>
        <v/>
      </c>
    </row>
    <row r="381" customFormat="false" ht="15" hidden="false" customHeight="false" outlineLevel="0" collapsed="false">
      <c r="P381" s="23" t="str">
        <f aca="false">IF(H381="","",IF(H381='Impact Check'!$B$3,COUNTIF($H$3:H381,'Impact Check'!$B$3),""))</f>
        <v/>
      </c>
      <c r="Q381" s="23" t="str">
        <f aca="false">IF(D381="","",IF(D381='Impact Check'!$B$3,COUNTIF($D$3:D381,'Impact Check'!$B$3),""))</f>
        <v/>
      </c>
    </row>
    <row r="382" customFormat="false" ht="15" hidden="false" customHeight="false" outlineLevel="0" collapsed="false">
      <c r="P382" s="23" t="str">
        <f aca="false">IF(H382="","",IF(H382='Impact Check'!$B$3,COUNTIF($H$3:H382,'Impact Check'!$B$3),""))</f>
        <v/>
      </c>
      <c r="Q382" s="23" t="str">
        <f aca="false">IF(D382="","",IF(D382='Impact Check'!$B$3,COUNTIF($D$3:D382,'Impact Check'!$B$3),""))</f>
        <v/>
      </c>
    </row>
    <row r="383" customFormat="false" ht="15" hidden="false" customHeight="false" outlineLevel="0" collapsed="false">
      <c r="P383" s="23" t="str">
        <f aca="false">IF(H383="","",IF(H383='Impact Check'!$B$3,COUNTIF($H$3:H383,'Impact Check'!$B$3),""))</f>
        <v/>
      </c>
      <c r="Q383" s="23" t="str">
        <f aca="false">IF(D383="","",IF(D383='Impact Check'!$B$3,COUNTIF($D$3:D383,'Impact Check'!$B$3),""))</f>
        <v/>
      </c>
    </row>
    <row r="384" customFormat="false" ht="15" hidden="false" customHeight="false" outlineLevel="0" collapsed="false">
      <c r="P384" s="23" t="str">
        <f aca="false">IF(H384="","",IF(H384='Impact Check'!$B$3,COUNTIF($H$3:H384,'Impact Check'!$B$3),""))</f>
        <v/>
      </c>
      <c r="Q384" s="23" t="str">
        <f aca="false">IF(D384="","",IF(D384='Impact Check'!$B$3,COUNTIF($D$3:D384,'Impact Check'!$B$3),""))</f>
        <v/>
      </c>
    </row>
    <row r="385" customFormat="false" ht="15" hidden="false" customHeight="false" outlineLevel="0" collapsed="false">
      <c r="P385" s="23" t="str">
        <f aca="false">IF(H385="","",IF(H385='Impact Check'!$B$3,COUNTIF($H$3:H385,'Impact Check'!$B$3),""))</f>
        <v/>
      </c>
      <c r="Q385" s="23" t="str">
        <f aca="false">IF(D385="","",IF(D385='Impact Check'!$B$3,COUNTIF($D$3:D385,'Impact Check'!$B$3),""))</f>
        <v/>
      </c>
    </row>
    <row r="386" customFormat="false" ht="15" hidden="false" customHeight="false" outlineLevel="0" collapsed="false">
      <c r="P386" s="23" t="str">
        <f aca="false">IF(H386="","",IF(H386='Impact Check'!$B$3,COUNTIF($H$3:H386,'Impact Check'!$B$3),""))</f>
        <v/>
      </c>
      <c r="Q386" s="23" t="str">
        <f aca="false">IF(D386="","",IF(D386='Impact Check'!$B$3,COUNTIF($D$3:D386,'Impact Check'!$B$3),""))</f>
        <v/>
      </c>
    </row>
    <row r="387" customFormat="false" ht="15" hidden="false" customHeight="false" outlineLevel="0" collapsed="false">
      <c r="P387" s="23" t="str">
        <f aca="false">IF(H387="","",IF(H387='Impact Check'!$B$3,COUNTIF($H$3:H387,'Impact Check'!$B$3),""))</f>
        <v/>
      </c>
      <c r="Q387" s="23" t="str">
        <f aca="false">IF(D387="","",IF(D387='Impact Check'!$B$3,COUNTIF($D$3:D387,'Impact Check'!$B$3),""))</f>
        <v/>
      </c>
    </row>
    <row r="388" customFormat="false" ht="15" hidden="false" customHeight="false" outlineLevel="0" collapsed="false">
      <c r="P388" s="23" t="str">
        <f aca="false">IF(H388="","",IF(H388='Impact Check'!$B$3,COUNTIF($H$3:H388,'Impact Check'!$B$3),""))</f>
        <v/>
      </c>
      <c r="Q388" s="23" t="str">
        <f aca="false">IF(D388="","",IF(D388='Impact Check'!$B$3,COUNTIF($D$3:D388,'Impact Check'!$B$3),""))</f>
        <v/>
      </c>
    </row>
    <row r="389" customFormat="false" ht="15" hidden="false" customHeight="false" outlineLevel="0" collapsed="false">
      <c r="P389" s="23" t="str">
        <f aca="false">IF(H389="","",IF(H389='Impact Check'!$B$3,COUNTIF($H$3:H389,'Impact Check'!$B$3),""))</f>
        <v/>
      </c>
      <c r="Q389" s="23" t="str">
        <f aca="false">IF(D389="","",IF(D389='Impact Check'!$B$3,COUNTIF($D$3:D389,'Impact Check'!$B$3),""))</f>
        <v/>
      </c>
    </row>
    <row r="390" customFormat="false" ht="15" hidden="false" customHeight="false" outlineLevel="0" collapsed="false">
      <c r="P390" s="23" t="str">
        <f aca="false">IF(H390="","",IF(H390='Impact Check'!$B$3,COUNTIF($H$3:H390,'Impact Check'!$B$3),""))</f>
        <v/>
      </c>
      <c r="Q390" s="23" t="str">
        <f aca="false">IF(D390="","",IF(D390='Impact Check'!$B$3,COUNTIF($D$3:D390,'Impact Check'!$B$3),""))</f>
        <v/>
      </c>
    </row>
    <row r="391" customFormat="false" ht="15" hidden="false" customHeight="false" outlineLevel="0" collapsed="false">
      <c r="P391" s="23" t="str">
        <f aca="false">IF(H391="","",IF(H391='Impact Check'!$B$3,COUNTIF($H$3:H391,'Impact Check'!$B$3),""))</f>
        <v/>
      </c>
      <c r="Q391" s="23" t="str">
        <f aca="false">IF(D391="","",IF(D391='Impact Check'!$B$3,COUNTIF($D$3:D391,'Impact Check'!$B$3),""))</f>
        <v/>
      </c>
    </row>
    <row r="392" customFormat="false" ht="15" hidden="false" customHeight="false" outlineLevel="0" collapsed="false">
      <c r="P392" s="23" t="str">
        <f aca="false">IF(H392="","",IF(H392='Impact Check'!$B$3,COUNTIF($H$3:H392,'Impact Check'!$B$3),""))</f>
        <v/>
      </c>
      <c r="Q392" s="23" t="str">
        <f aca="false">IF(D392="","",IF(D392='Impact Check'!$B$3,COUNTIF($D$3:D392,'Impact Check'!$B$3),""))</f>
        <v/>
      </c>
    </row>
    <row r="393" customFormat="false" ht="15" hidden="false" customHeight="false" outlineLevel="0" collapsed="false">
      <c r="P393" s="23" t="str">
        <f aca="false">IF(H393="","",IF(H393='Impact Check'!$B$3,COUNTIF($H$3:H393,'Impact Check'!$B$3),""))</f>
        <v/>
      </c>
      <c r="Q393" s="23" t="str">
        <f aca="false">IF(D393="","",IF(D393='Impact Check'!$B$3,COUNTIF($D$3:D393,'Impact Check'!$B$3),""))</f>
        <v/>
      </c>
    </row>
    <row r="394" customFormat="false" ht="15" hidden="false" customHeight="false" outlineLevel="0" collapsed="false">
      <c r="P394" s="23" t="str">
        <f aca="false">IF(H394="","",IF(H394='Impact Check'!$B$3,COUNTIF($H$3:H394,'Impact Check'!$B$3),""))</f>
        <v/>
      </c>
      <c r="Q394" s="23" t="str">
        <f aca="false">IF(D394="","",IF(D394='Impact Check'!$B$3,COUNTIF($D$3:D394,'Impact Check'!$B$3),""))</f>
        <v/>
      </c>
    </row>
    <row r="395" customFormat="false" ht="15" hidden="false" customHeight="false" outlineLevel="0" collapsed="false">
      <c r="P395" s="23" t="str">
        <f aca="false">IF(H395="","",IF(H395='Impact Check'!$B$3,COUNTIF($H$3:H395,'Impact Check'!$B$3),""))</f>
        <v/>
      </c>
      <c r="Q395" s="23" t="str">
        <f aca="false">IF(D395="","",IF(D395='Impact Check'!$B$3,COUNTIF($D$3:D395,'Impact Check'!$B$3),""))</f>
        <v/>
      </c>
    </row>
    <row r="396" customFormat="false" ht="15" hidden="false" customHeight="false" outlineLevel="0" collapsed="false">
      <c r="P396" s="23" t="str">
        <f aca="false">IF(H396="","",IF(H396='Impact Check'!$B$3,COUNTIF($H$3:H396,'Impact Check'!$B$3),""))</f>
        <v/>
      </c>
      <c r="Q396" s="23" t="str">
        <f aca="false">IF(D396="","",IF(D396='Impact Check'!$B$3,COUNTIF($D$3:D396,'Impact Check'!$B$3),""))</f>
        <v/>
      </c>
    </row>
    <row r="397" customFormat="false" ht="15" hidden="false" customHeight="false" outlineLevel="0" collapsed="false">
      <c r="P397" s="23" t="str">
        <f aca="false">IF(H397="","",IF(H397='Impact Check'!$B$3,COUNTIF($H$3:H397,'Impact Check'!$B$3),""))</f>
        <v/>
      </c>
      <c r="Q397" s="23" t="str">
        <f aca="false">IF(D397="","",IF(D397='Impact Check'!$B$3,COUNTIF($D$3:D397,'Impact Check'!$B$3),""))</f>
        <v/>
      </c>
    </row>
    <row r="398" customFormat="false" ht="15" hidden="false" customHeight="false" outlineLevel="0" collapsed="false">
      <c r="P398" s="23" t="str">
        <f aca="false">IF(H398="","",IF(H398='Impact Check'!$B$3,COUNTIF($H$3:H398,'Impact Check'!$B$3),""))</f>
        <v/>
      </c>
      <c r="Q398" s="23" t="str">
        <f aca="false">IF(D398="","",IF(D398='Impact Check'!$B$3,COUNTIF($D$3:D398,'Impact Check'!$B$3),""))</f>
        <v/>
      </c>
    </row>
    <row r="399" customFormat="false" ht="15" hidden="false" customHeight="false" outlineLevel="0" collapsed="false">
      <c r="P399" s="23" t="str">
        <f aca="false">IF(H399="","",IF(H399='Impact Check'!$B$3,COUNTIF($H$3:H399,'Impact Check'!$B$3),""))</f>
        <v/>
      </c>
      <c r="Q399" s="23" t="str">
        <f aca="false">IF(D399="","",IF(D399='Impact Check'!$B$3,COUNTIF($D$3:D399,'Impact Check'!$B$3),""))</f>
        <v/>
      </c>
    </row>
    <row r="400" customFormat="false" ht="15" hidden="false" customHeight="false" outlineLevel="0" collapsed="false">
      <c r="P400" s="23" t="str">
        <f aca="false">IF(H400="","",IF(H400='Impact Check'!$B$3,COUNTIF($H$3:H400,'Impact Check'!$B$3),""))</f>
        <v/>
      </c>
      <c r="Q400" s="23" t="str">
        <f aca="false">IF(D400="","",IF(D400='Impact Check'!$B$3,COUNTIF($D$3:D400,'Impact Check'!$B$3),""))</f>
        <v/>
      </c>
    </row>
    <row r="401" customFormat="false" ht="15" hidden="false" customHeight="false" outlineLevel="0" collapsed="false">
      <c r="P401" s="23" t="str">
        <f aca="false">IF(H401="","",IF(H401='Impact Check'!$B$3,COUNTIF($H$3:H401,'Impact Check'!$B$3),""))</f>
        <v/>
      </c>
      <c r="Q401" s="23" t="str">
        <f aca="false">IF(D401="","",IF(D401='Impact Check'!$B$3,COUNTIF($D$3:D401,'Impact Check'!$B$3),""))</f>
        <v/>
      </c>
    </row>
    <row r="402" customFormat="false" ht="15" hidden="false" customHeight="false" outlineLevel="0" collapsed="false">
      <c r="P402" s="23" t="str">
        <f aca="false">IF(H402="","",IF(H402='Impact Check'!$B$3,COUNTIF($H$3:H402,'Impact Check'!$B$3),""))</f>
        <v/>
      </c>
      <c r="Q402" s="23" t="str">
        <f aca="false">IF(D402="","",IF(D402='Impact Check'!$B$3,COUNTIF($D$3:D402,'Impact Check'!$B$3),""))</f>
        <v/>
      </c>
    </row>
    <row r="403" customFormat="false" ht="15" hidden="false" customHeight="false" outlineLevel="0" collapsed="false">
      <c r="P403" s="23" t="str">
        <f aca="false">IF(H403="","",IF(H403='Impact Check'!$B$3,COUNTIF($H$3:H403,'Impact Check'!$B$3),""))</f>
        <v/>
      </c>
      <c r="Q403" s="23" t="str">
        <f aca="false">IF(D403="","",IF(D403='Impact Check'!$B$3,COUNTIF($D$3:D403,'Impact Check'!$B$3),""))</f>
        <v/>
      </c>
    </row>
    <row r="404" customFormat="false" ht="15" hidden="false" customHeight="false" outlineLevel="0" collapsed="false">
      <c r="P404" s="23" t="str">
        <f aca="false">IF(H404="","",IF(H404='Impact Check'!$B$3,COUNTIF($H$3:H404,'Impact Check'!$B$3),""))</f>
        <v/>
      </c>
      <c r="Q404" s="23" t="str">
        <f aca="false">IF(D404="","",IF(D404='Impact Check'!$B$3,COUNTIF($D$3:D404,'Impact Check'!$B$3),""))</f>
        <v/>
      </c>
    </row>
    <row r="405" customFormat="false" ht="15" hidden="false" customHeight="false" outlineLevel="0" collapsed="false">
      <c r="P405" s="23" t="str">
        <f aca="false">IF(H405="","",IF(H405='Impact Check'!$B$3,COUNTIF($H$3:H405,'Impact Check'!$B$3),""))</f>
        <v/>
      </c>
      <c r="Q405" s="23" t="str">
        <f aca="false">IF(D405="","",IF(D405='Impact Check'!$B$3,COUNTIF($D$3:D405,'Impact Check'!$B$3),""))</f>
        <v/>
      </c>
    </row>
    <row r="406" customFormat="false" ht="15" hidden="false" customHeight="false" outlineLevel="0" collapsed="false">
      <c r="P406" s="23" t="str">
        <f aca="false">IF(H406="","",IF(H406='Impact Check'!$B$3,COUNTIF($H$3:H406,'Impact Check'!$B$3),""))</f>
        <v/>
      </c>
      <c r="Q406" s="23" t="str">
        <f aca="false">IF(D406="","",IF(D406='Impact Check'!$B$3,COUNTIF($D$3:D406,'Impact Check'!$B$3),""))</f>
        <v/>
      </c>
    </row>
    <row r="407" customFormat="false" ht="15" hidden="false" customHeight="false" outlineLevel="0" collapsed="false">
      <c r="P407" s="23" t="str">
        <f aca="false">IF(H407="","",IF(H407='Impact Check'!$B$3,COUNTIF($H$3:H407,'Impact Check'!$B$3),""))</f>
        <v/>
      </c>
      <c r="Q407" s="23" t="str">
        <f aca="false">IF(D407="","",IF(D407='Impact Check'!$B$3,COUNTIF($D$3:D407,'Impact Check'!$B$3),""))</f>
        <v/>
      </c>
    </row>
    <row r="408" customFormat="false" ht="15" hidden="false" customHeight="false" outlineLevel="0" collapsed="false">
      <c r="P408" s="23" t="str">
        <f aca="false">IF(H408="","",IF(H408='Impact Check'!$B$3,COUNTIF($H$3:H408,'Impact Check'!$B$3),""))</f>
        <v/>
      </c>
      <c r="Q408" s="23" t="str">
        <f aca="false">IF(D408="","",IF(D408='Impact Check'!$B$3,COUNTIF($D$3:D408,'Impact Check'!$B$3),""))</f>
        <v/>
      </c>
    </row>
    <row r="409" customFormat="false" ht="15" hidden="false" customHeight="false" outlineLevel="0" collapsed="false">
      <c r="P409" s="23" t="str">
        <f aca="false">IF(H409="","",IF(H409='Impact Check'!$B$3,COUNTIF($H$3:H409,'Impact Check'!$B$3),""))</f>
        <v/>
      </c>
      <c r="Q409" s="23" t="str">
        <f aca="false">IF(D409="","",IF(D409='Impact Check'!$B$3,COUNTIF($D$3:D409,'Impact Check'!$B$3),""))</f>
        <v/>
      </c>
    </row>
    <row r="410" customFormat="false" ht="15" hidden="false" customHeight="false" outlineLevel="0" collapsed="false">
      <c r="P410" s="23" t="str">
        <f aca="false">IF(H410="","",IF(H410='Impact Check'!$B$3,COUNTIF($H$3:H410,'Impact Check'!$B$3),""))</f>
        <v/>
      </c>
      <c r="Q410" s="23" t="str">
        <f aca="false">IF(D410="","",IF(D410='Impact Check'!$B$3,COUNTIF($D$3:D410,'Impact Check'!$B$3),""))</f>
        <v/>
      </c>
    </row>
    <row r="411" customFormat="false" ht="15" hidden="false" customHeight="false" outlineLevel="0" collapsed="false">
      <c r="P411" s="23" t="str">
        <f aca="false">IF(H411="","",IF(H411='Impact Check'!$B$3,COUNTIF($H$3:H411,'Impact Check'!$B$3),""))</f>
        <v/>
      </c>
      <c r="Q411" s="23" t="str">
        <f aca="false">IF(D411="","",IF(D411='Impact Check'!$B$3,COUNTIF($D$3:D411,'Impact Check'!$B$3),""))</f>
        <v/>
      </c>
    </row>
    <row r="412" customFormat="false" ht="15" hidden="false" customHeight="false" outlineLevel="0" collapsed="false">
      <c r="P412" s="23" t="str">
        <f aca="false">IF(H412="","",IF(H412='Impact Check'!$B$3,COUNTIF($H$3:H412,'Impact Check'!$B$3),""))</f>
        <v/>
      </c>
      <c r="Q412" s="23" t="str">
        <f aca="false">IF(D412="","",IF(D412='Impact Check'!$B$3,COUNTIF($D$3:D412,'Impact Check'!$B$3),""))</f>
        <v/>
      </c>
    </row>
    <row r="413" customFormat="false" ht="15" hidden="false" customHeight="false" outlineLevel="0" collapsed="false">
      <c r="P413" s="23" t="str">
        <f aca="false">IF(H413="","",IF(H413='Impact Check'!$B$3,COUNTIF($H$3:H413,'Impact Check'!$B$3),""))</f>
        <v/>
      </c>
      <c r="Q413" s="23" t="str">
        <f aca="false">IF(D413="","",IF(D413='Impact Check'!$B$3,COUNTIF($D$3:D413,'Impact Check'!$B$3),""))</f>
        <v/>
      </c>
    </row>
    <row r="414" customFormat="false" ht="15" hidden="false" customHeight="false" outlineLevel="0" collapsed="false">
      <c r="P414" s="23" t="str">
        <f aca="false">IF(H414="","",IF(H414='Impact Check'!$B$3,COUNTIF($H$3:H414,'Impact Check'!$B$3),""))</f>
        <v/>
      </c>
      <c r="Q414" s="23" t="str">
        <f aca="false">IF(D414="","",IF(D414='Impact Check'!$B$3,COUNTIF($D$3:D414,'Impact Check'!$B$3),""))</f>
        <v/>
      </c>
    </row>
    <row r="415" customFormat="false" ht="15" hidden="false" customHeight="false" outlineLevel="0" collapsed="false">
      <c r="P415" s="23" t="str">
        <f aca="false">IF(H415="","",IF(H415='Impact Check'!$B$3,COUNTIF($H$3:H415,'Impact Check'!$B$3),""))</f>
        <v/>
      </c>
      <c r="Q415" s="23" t="str">
        <f aca="false">IF(D415="","",IF(D415='Impact Check'!$B$3,COUNTIF($D$3:D415,'Impact Check'!$B$3),""))</f>
        <v/>
      </c>
    </row>
    <row r="416" customFormat="false" ht="15" hidden="false" customHeight="false" outlineLevel="0" collapsed="false">
      <c r="P416" s="23" t="str">
        <f aca="false">IF(H416="","",IF(H416='Impact Check'!$B$3,COUNTIF($H$3:H416,'Impact Check'!$B$3),""))</f>
        <v/>
      </c>
      <c r="Q416" s="23" t="str">
        <f aca="false">IF(D416="","",IF(D416='Impact Check'!$B$3,COUNTIF($D$3:D416,'Impact Check'!$B$3),""))</f>
        <v/>
      </c>
    </row>
    <row r="417" customFormat="false" ht="15" hidden="false" customHeight="false" outlineLevel="0" collapsed="false">
      <c r="P417" s="23" t="str">
        <f aca="false">IF(H417="","",IF(H417='Impact Check'!$B$3,COUNTIF($H$3:H417,'Impact Check'!$B$3),""))</f>
        <v/>
      </c>
      <c r="Q417" s="23" t="str">
        <f aca="false">IF(D417="","",IF(D417='Impact Check'!$B$3,COUNTIF($D$3:D417,'Impact Check'!$B$3),""))</f>
        <v/>
      </c>
    </row>
    <row r="418" customFormat="false" ht="15" hidden="false" customHeight="false" outlineLevel="0" collapsed="false">
      <c r="P418" s="23" t="str">
        <f aca="false">IF(H418="","",IF(H418='Impact Check'!$B$3,COUNTIF($H$3:H418,'Impact Check'!$B$3),""))</f>
        <v/>
      </c>
      <c r="Q418" s="23" t="str">
        <f aca="false">IF(D418="","",IF(D418='Impact Check'!$B$3,COUNTIF($D$3:D418,'Impact Check'!$B$3),""))</f>
        <v/>
      </c>
    </row>
    <row r="419" customFormat="false" ht="15" hidden="false" customHeight="false" outlineLevel="0" collapsed="false">
      <c r="P419" s="23" t="str">
        <f aca="false">IF(H419="","",IF(H419='Impact Check'!$B$3,COUNTIF($H$3:H419,'Impact Check'!$B$3),""))</f>
        <v/>
      </c>
      <c r="Q419" s="23" t="str">
        <f aca="false">IF(D419="","",IF(D419='Impact Check'!$B$3,COUNTIF($D$3:D419,'Impact Check'!$B$3),""))</f>
        <v/>
      </c>
    </row>
    <row r="420" customFormat="false" ht="15" hidden="false" customHeight="false" outlineLevel="0" collapsed="false">
      <c r="P420" s="23" t="str">
        <f aca="false">IF(H420="","",IF(H420='Impact Check'!$B$3,COUNTIF($H$3:H420,'Impact Check'!$B$3),""))</f>
        <v/>
      </c>
      <c r="Q420" s="23" t="str">
        <f aca="false">IF(D420="","",IF(D420='Impact Check'!$B$3,COUNTIF($D$3:D420,'Impact Check'!$B$3),""))</f>
        <v/>
      </c>
    </row>
    <row r="421" customFormat="false" ht="15" hidden="false" customHeight="false" outlineLevel="0" collapsed="false">
      <c r="P421" s="23" t="str">
        <f aca="false">IF(H421="","",IF(H421='Impact Check'!$B$3,COUNTIF($H$3:H421,'Impact Check'!$B$3),""))</f>
        <v/>
      </c>
      <c r="Q421" s="23" t="str">
        <f aca="false">IF(D421="","",IF(D421='Impact Check'!$B$3,COUNTIF($D$3:D421,'Impact Check'!$B$3),""))</f>
        <v/>
      </c>
    </row>
    <row r="422" customFormat="false" ht="15" hidden="false" customHeight="false" outlineLevel="0" collapsed="false">
      <c r="P422" s="23" t="str">
        <f aca="false">IF(H422="","",IF(H422='Impact Check'!$B$3,COUNTIF($H$3:H422,'Impact Check'!$B$3),""))</f>
        <v/>
      </c>
      <c r="Q422" s="23" t="str">
        <f aca="false">IF(D422="","",IF(D422='Impact Check'!$B$3,COUNTIF($D$3:D422,'Impact Check'!$B$3),""))</f>
        <v/>
      </c>
    </row>
    <row r="423" customFormat="false" ht="15" hidden="false" customHeight="false" outlineLevel="0" collapsed="false">
      <c r="P423" s="23" t="str">
        <f aca="false">IF(H423="","",IF(H423='Impact Check'!$B$3,COUNTIF($H$3:H423,'Impact Check'!$B$3),""))</f>
        <v/>
      </c>
      <c r="Q423" s="23" t="str">
        <f aca="false">IF(D423="","",IF(D423='Impact Check'!$B$3,COUNTIF($D$3:D423,'Impact Check'!$B$3),""))</f>
        <v/>
      </c>
    </row>
    <row r="424" customFormat="false" ht="15" hidden="false" customHeight="false" outlineLevel="0" collapsed="false">
      <c r="P424" s="23" t="str">
        <f aca="false">IF(H424="","",IF(H424='Impact Check'!$B$3,COUNTIF($H$3:H424,'Impact Check'!$B$3),""))</f>
        <v/>
      </c>
      <c r="Q424" s="23" t="str">
        <f aca="false">IF(D424="","",IF(D424='Impact Check'!$B$3,COUNTIF($D$3:D424,'Impact Check'!$B$3),""))</f>
        <v/>
      </c>
    </row>
    <row r="425" customFormat="false" ht="15" hidden="false" customHeight="false" outlineLevel="0" collapsed="false">
      <c r="P425" s="23" t="str">
        <f aca="false">IF(H425="","",IF(H425='Impact Check'!$B$3,COUNTIF($H$3:H425,'Impact Check'!$B$3),""))</f>
        <v/>
      </c>
      <c r="Q425" s="23" t="str">
        <f aca="false">IF(D425="","",IF(D425='Impact Check'!$B$3,COUNTIF($D$3:D425,'Impact Check'!$B$3),""))</f>
        <v/>
      </c>
    </row>
    <row r="426" customFormat="false" ht="15" hidden="false" customHeight="false" outlineLevel="0" collapsed="false">
      <c r="P426" s="23" t="str">
        <f aca="false">IF(H426="","",IF(H426='Impact Check'!$B$3,COUNTIF($H$3:H426,'Impact Check'!$B$3),""))</f>
        <v/>
      </c>
      <c r="Q426" s="23" t="str">
        <f aca="false">IF(D426="","",IF(D426='Impact Check'!$B$3,COUNTIF($D$3:D426,'Impact Check'!$B$3),""))</f>
        <v/>
      </c>
    </row>
    <row r="427" customFormat="false" ht="15" hidden="false" customHeight="false" outlineLevel="0" collapsed="false">
      <c r="P427" s="23" t="str">
        <f aca="false">IF(H427="","",IF(H427='Impact Check'!$B$3,COUNTIF($H$3:H427,'Impact Check'!$B$3),""))</f>
        <v/>
      </c>
      <c r="Q427" s="23" t="str">
        <f aca="false">IF(D427="","",IF(D427='Impact Check'!$B$3,COUNTIF($D$3:D427,'Impact Check'!$B$3),""))</f>
        <v/>
      </c>
    </row>
    <row r="428" customFormat="false" ht="15" hidden="false" customHeight="false" outlineLevel="0" collapsed="false">
      <c r="P428" s="23" t="str">
        <f aca="false">IF(H428="","",IF(H428='Impact Check'!$B$3,COUNTIF($H$3:H428,'Impact Check'!$B$3),""))</f>
        <v/>
      </c>
      <c r="Q428" s="23" t="str">
        <f aca="false">IF(D428="","",IF(D428='Impact Check'!$B$3,COUNTIF($D$3:D428,'Impact Check'!$B$3),""))</f>
        <v/>
      </c>
    </row>
    <row r="429" customFormat="false" ht="15" hidden="false" customHeight="false" outlineLevel="0" collapsed="false">
      <c r="P429" s="23" t="str">
        <f aca="false">IF(H429="","",IF(H429='Impact Check'!$B$3,COUNTIF($H$3:H429,'Impact Check'!$B$3),""))</f>
        <v/>
      </c>
      <c r="Q429" s="23" t="str">
        <f aca="false">IF(D429="","",IF(D429='Impact Check'!$B$3,COUNTIF($D$3:D429,'Impact Check'!$B$3),""))</f>
        <v/>
      </c>
    </row>
    <row r="430" customFormat="false" ht="15" hidden="false" customHeight="false" outlineLevel="0" collapsed="false">
      <c r="P430" s="23" t="str">
        <f aca="false">IF(H430="","",IF(H430='Impact Check'!$B$3,COUNTIF($H$3:H430,'Impact Check'!$B$3),""))</f>
        <v/>
      </c>
      <c r="Q430" s="23" t="str">
        <f aca="false">IF(D430="","",IF(D430='Impact Check'!$B$3,COUNTIF($D$3:D430,'Impact Check'!$B$3),""))</f>
        <v/>
      </c>
    </row>
    <row r="431" customFormat="false" ht="15" hidden="false" customHeight="false" outlineLevel="0" collapsed="false">
      <c r="P431" s="23" t="str">
        <f aca="false">IF(H431="","",IF(H431='Impact Check'!$B$3,COUNTIF($H$3:H431,'Impact Check'!$B$3),""))</f>
        <v/>
      </c>
      <c r="Q431" s="23" t="str">
        <f aca="false">IF(D431="","",IF(D431='Impact Check'!$B$3,COUNTIF($D$3:D431,'Impact Check'!$B$3),""))</f>
        <v/>
      </c>
    </row>
    <row r="432" customFormat="false" ht="15" hidden="false" customHeight="false" outlineLevel="0" collapsed="false">
      <c r="P432" s="23" t="str">
        <f aca="false">IF(H432="","",IF(H432='Impact Check'!$B$3,COUNTIF($H$3:H432,'Impact Check'!$B$3),""))</f>
        <v/>
      </c>
      <c r="Q432" s="23" t="str">
        <f aca="false">IF(D432="","",IF(D432='Impact Check'!$B$3,COUNTIF($D$3:D432,'Impact Check'!$B$3),""))</f>
        <v/>
      </c>
    </row>
    <row r="433" customFormat="false" ht="15" hidden="false" customHeight="false" outlineLevel="0" collapsed="false">
      <c r="P433" s="23" t="str">
        <f aca="false">IF(H433="","",IF(H433='Impact Check'!$B$3,COUNTIF($H$3:H433,'Impact Check'!$B$3),""))</f>
        <v/>
      </c>
      <c r="Q433" s="23" t="str">
        <f aca="false">IF(D433="","",IF(D433='Impact Check'!$B$3,COUNTIF($D$3:D433,'Impact Check'!$B$3),""))</f>
        <v/>
      </c>
    </row>
    <row r="434" customFormat="false" ht="15" hidden="false" customHeight="false" outlineLevel="0" collapsed="false">
      <c r="P434" s="23" t="str">
        <f aca="false">IF(H434="","",IF(H434='Impact Check'!$B$3,COUNTIF($H$3:H434,'Impact Check'!$B$3),""))</f>
        <v/>
      </c>
      <c r="Q434" s="23" t="str">
        <f aca="false">IF(D434="","",IF(D434='Impact Check'!$B$3,COUNTIF($D$3:D434,'Impact Check'!$B$3),""))</f>
        <v/>
      </c>
    </row>
    <row r="435" customFormat="false" ht="15" hidden="false" customHeight="false" outlineLevel="0" collapsed="false">
      <c r="P435" s="23" t="str">
        <f aca="false">IF(H435="","",IF(H435='Impact Check'!$B$3,COUNTIF($H$3:H435,'Impact Check'!$B$3),""))</f>
        <v/>
      </c>
      <c r="Q435" s="23" t="str">
        <f aca="false">IF(D435="","",IF(D435='Impact Check'!$B$3,COUNTIF($D$3:D435,'Impact Check'!$B$3),""))</f>
        <v/>
      </c>
    </row>
    <row r="436" customFormat="false" ht="15" hidden="false" customHeight="false" outlineLevel="0" collapsed="false">
      <c r="P436" s="23" t="str">
        <f aca="false">IF(H436="","",IF(H436='Impact Check'!$B$3,COUNTIF($H$3:H436,'Impact Check'!$B$3),""))</f>
        <v/>
      </c>
      <c r="Q436" s="23" t="str">
        <f aca="false">IF(D436="","",IF(D436='Impact Check'!$B$3,COUNTIF($D$3:D436,'Impact Check'!$B$3),""))</f>
        <v/>
      </c>
    </row>
    <row r="437" customFormat="false" ht="15" hidden="false" customHeight="false" outlineLevel="0" collapsed="false">
      <c r="P437" s="23" t="str">
        <f aca="false">IF(H437="","",IF(H437='Impact Check'!$B$3,COUNTIF($H$3:H437,'Impact Check'!$B$3),""))</f>
        <v/>
      </c>
      <c r="Q437" s="23" t="str">
        <f aca="false">IF(D437="","",IF(D437='Impact Check'!$B$3,COUNTIF($D$3:D437,'Impact Check'!$B$3),""))</f>
        <v/>
      </c>
    </row>
    <row r="438" customFormat="false" ht="15" hidden="false" customHeight="false" outlineLevel="0" collapsed="false">
      <c r="P438" s="23" t="str">
        <f aca="false">IF(H438="","",IF(H438='Impact Check'!$B$3,COUNTIF($H$3:H438,'Impact Check'!$B$3),""))</f>
        <v/>
      </c>
      <c r="Q438" s="23" t="str">
        <f aca="false">IF(D438="","",IF(D438='Impact Check'!$B$3,COUNTIF($D$3:D438,'Impact Check'!$B$3),""))</f>
        <v/>
      </c>
    </row>
    <row r="439" customFormat="false" ht="15" hidden="false" customHeight="false" outlineLevel="0" collapsed="false">
      <c r="P439" s="23" t="str">
        <f aca="false">IF(H439="","",IF(H439='Impact Check'!$B$3,COUNTIF($H$3:H439,'Impact Check'!$B$3),""))</f>
        <v/>
      </c>
      <c r="Q439" s="23" t="str">
        <f aca="false">IF(D439="","",IF(D439='Impact Check'!$B$3,COUNTIF($D$3:D439,'Impact Check'!$B$3),""))</f>
        <v/>
      </c>
    </row>
    <row r="440" customFormat="false" ht="15" hidden="false" customHeight="false" outlineLevel="0" collapsed="false">
      <c r="P440" s="23" t="str">
        <f aca="false">IF(H440="","",IF(H440='Impact Check'!$B$3,COUNTIF($H$3:H440,'Impact Check'!$B$3),""))</f>
        <v/>
      </c>
      <c r="Q440" s="23" t="str">
        <f aca="false">IF(D440="","",IF(D440='Impact Check'!$B$3,COUNTIF($D$3:D440,'Impact Check'!$B$3),""))</f>
        <v/>
      </c>
    </row>
    <row r="441" customFormat="false" ht="15" hidden="false" customHeight="false" outlineLevel="0" collapsed="false">
      <c r="P441" s="23" t="str">
        <f aca="false">IF(H441="","",IF(H441='Impact Check'!$B$3,COUNTIF($H$3:H441,'Impact Check'!$B$3),""))</f>
        <v/>
      </c>
      <c r="Q441" s="23" t="str">
        <f aca="false">IF(D441="","",IF(D441='Impact Check'!$B$3,COUNTIF($D$3:D441,'Impact Check'!$B$3),""))</f>
        <v/>
      </c>
    </row>
    <row r="442" customFormat="false" ht="15" hidden="false" customHeight="false" outlineLevel="0" collapsed="false">
      <c r="P442" s="23" t="str">
        <f aca="false">IF(H442="","",IF(H442='Impact Check'!$B$3,COUNTIF($H$3:H442,'Impact Check'!$B$3),""))</f>
        <v/>
      </c>
      <c r="Q442" s="23" t="str">
        <f aca="false">IF(D442="","",IF(D442='Impact Check'!$B$3,COUNTIF($D$3:D442,'Impact Check'!$B$3),""))</f>
        <v/>
      </c>
    </row>
    <row r="443" customFormat="false" ht="15" hidden="false" customHeight="false" outlineLevel="0" collapsed="false">
      <c r="P443" s="23" t="str">
        <f aca="false">IF(H443="","",IF(H443='Impact Check'!$B$3,COUNTIF($H$3:H443,'Impact Check'!$B$3),""))</f>
        <v/>
      </c>
      <c r="Q443" s="23" t="str">
        <f aca="false">IF(D443="","",IF(D443='Impact Check'!$B$3,COUNTIF($D$3:D443,'Impact Check'!$B$3),""))</f>
        <v/>
      </c>
    </row>
    <row r="444" customFormat="false" ht="15" hidden="false" customHeight="false" outlineLevel="0" collapsed="false">
      <c r="P444" s="23" t="str">
        <f aca="false">IF(H444="","",IF(H444='Impact Check'!$B$3,COUNTIF($H$3:H444,'Impact Check'!$B$3),""))</f>
        <v/>
      </c>
      <c r="Q444" s="23" t="str">
        <f aca="false">IF(D444="","",IF(D444='Impact Check'!$B$3,COUNTIF($D$3:D444,'Impact Check'!$B$3),""))</f>
        <v/>
      </c>
    </row>
    <row r="445" customFormat="false" ht="15" hidden="false" customHeight="false" outlineLevel="0" collapsed="false">
      <c r="P445" s="23" t="str">
        <f aca="false">IF(H445="","",IF(H445='Impact Check'!$B$3,COUNTIF($H$3:H445,'Impact Check'!$B$3),""))</f>
        <v/>
      </c>
      <c r="Q445" s="23" t="str">
        <f aca="false">IF(D445="","",IF(D445='Impact Check'!$B$3,COUNTIF($D$3:D445,'Impact Check'!$B$3),""))</f>
        <v/>
      </c>
    </row>
    <row r="446" customFormat="false" ht="15" hidden="false" customHeight="false" outlineLevel="0" collapsed="false">
      <c r="P446" s="23" t="str">
        <f aca="false">IF(H446="","",IF(H446='Impact Check'!$B$3,COUNTIF($H$3:H446,'Impact Check'!$B$3),""))</f>
        <v/>
      </c>
      <c r="Q446" s="23" t="str">
        <f aca="false">IF(D446="","",IF(D446='Impact Check'!$B$3,COUNTIF($D$3:D446,'Impact Check'!$B$3),""))</f>
        <v/>
      </c>
    </row>
    <row r="447" customFormat="false" ht="15" hidden="false" customHeight="false" outlineLevel="0" collapsed="false">
      <c r="P447" s="23" t="str">
        <f aca="false">IF(H447="","",IF(H447='Impact Check'!$B$3,COUNTIF($H$3:H447,'Impact Check'!$B$3),""))</f>
        <v/>
      </c>
      <c r="Q447" s="23" t="str">
        <f aca="false">IF(D447="","",IF(D447='Impact Check'!$B$3,COUNTIF($D$3:D447,'Impact Check'!$B$3),""))</f>
        <v/>
      </c>
    </row>
    <row r="448" customFormat="false" ht="15" hidden="false" customHeight="false" outlineLevel="0" collapsed="false">
      <c r="P448" s="23" t="str">
        <f aca="false">IF(H448="","",IF(H448='Impact Check'!$B$3,COUNTIF($H$3:H448,'Impact Check'!$B$3),""))</f>
        <v/>
      </c>
      <c r="Q448" s="23" t="str">
        <f aca="false">IF(D448="","",IF(D448='Impact Check'!$B$3,COUNTIF($D$3:D448,'Impact Check'!$B$3),""))</f>
        <v/>
      </c>
    </row>
    <row r="449" customFormat="false" ht="15" hidden="false" customHeight="false" outlineLevel="0" collapsed="false">
      <c r="P449" s="23" t="str">
        <f aca="false">IF(H449="","",IF(H449='Impact Check'!$B$3,COUNTIF($H$3:H449,'Impact Check'!$B$3),""))</f>
        <v/>
      </c>
      <c r="Q449" s="23" t="str">
        <f aca="false">IF(D449="","",IF(D449='Impact Check'!$B$3,COUNTIF($D$3:D449,'Impact Check'!$B$3),""))</f>
        <v/>
      </c>
    </row>
    <row r="450" customFormat="false" ht="15" hidden="false" customHeight="false" outlineLevel="0" collapsed="false">
      <c r="P450" s="23" t="str">
        <f aca="false">IF(H450="","",IF(H450='Impact Check'!$B$3,COUNTIF($H$3:H450,'Impact Check'!$B$3),""))</f>
        <v/>
      </c>
      <c r="Q450" s="23" t="str">
        <f aca="false">IF(D450="","",IF(D450='Impact Check'!$B$3,COUNTIF($D$3:D450,'Impact Check'!$B$3),""))</f>
        <v/>
      </c>
    </row>
    <row r="451" customFormat="false" ht="15" hidden="false" customHeight="false" outlineLevel="0" collapsed="false">
      <c r="P451" s="23" t="str">
        <f aca="false">IF(H451="","",IF(H451='Impact Check'!$B$3,COUNTIF($H$3:H451,'Impact Check'!$B$3),""))</f>
        <v/>
      </c>
      <c r="Q451" s="23" t="str">
        <f aca="false">IF(D451="","",IF(D451='Impact Check'!$B$3,COUNTIF($D$3:D451,'Impact Check'!$B$3),""))</f>
        <v/>
      </c>
    </row>
    <row r="452" customFormat="false" ht="15" hidden="false" customHeight="false" outlineLevel="0" collapsed="false">
      <c r="P452" s="23" t="str">
        <f aca="false">IF(H452="","",IF(H452='Impact Check'!$B$3,COUNTIF($H$3:H452,'Impact Check'!$B$3),""))</f>
        <v/>
      </c>
      <c r="Q452" s="23" t="str">
        <f aca="false">IF(D452="","",IF(D452='Impact Check'!$B$3,COUNTIF($D$3:D452,'Impact Check'!$B$3),""))</f>
        <v/>
      </c>
    </row>
    <row r="453" customFormat="false" ht="15" hidden="false" customHeight="false" outlineLevel="0" collapsed="false">
      <c r="P453" s="23" t="str">
        <f aca="false">IF(H453="","",IF(H453='Impact Check'!$B$3,COUNTIF($H$3:H453,'Impact Check'!$B$3),""))</f>
        <v/>
      </c>
      <c r="Q453" s="23" t="str">
        <f aca="false">IF(D453="","",IF(D453='Impact Check'!$B$3,COUNTIF($D$3:D453,'Impact Check'!$B$3),""))</f>
        <v/>
      </c>
    </row>
    <row r="454" customFormat="false" ht="15" hidden="false" customHeight="false" outlineLevel="0" collapsed="false">
      <c r="P454" s="23" t="str">
        <f aca="false">IF(H454="","",IF(H454='Impact Check'!$B$3,COUNTIF($H$3:H454,'Impact Check'!$B$3),""))</f>
        <v/>
      </c>
      <c r="Q454" s="23" t="str">
        <f aca="false">IF(D454="","",IF(D454='Impact Check'!$B$3,COUNTIF($D$3:D454,'Impact Check'!$B$3),""))</f>
        <v/>
      </c>
    </row>
    <row r="455" customFormat="false" ht="15" hidden="false" customHeight="false" outlineLevel="0" collapsed="false">
      <c r="P455" s="23" t="str">
        <f aca="false">IF(H455="","",IF(H455='Impact Check'!$B$3,COUNTIF($H$3:H455,'Impact Check'!$B$3),""))</f>
        <v/>
      </c>
      <c r="Q455" s="23" t="str">
        <f aca="false">IF(D455="","",IF(D455='Impact Check'!$B$3,COUNTIF($D$3:D455,'Impact Check'!$B$3),""))</f>
        <v/>
      </c>
    </row>
    <row r="456" customFormat="false" ht="15" hidden="false" customHeight="false" outlineLevel="0" collapsed="false">
      <c r="P456" s="23" t="str">
        <f aca="false">IF(H456="","",IF(H456='Impact Check'!$B$3,COUNTIF($H$3:H456,'Impact Check'!$B$3),""))</f>
        <v/>
      </c>
      <c r="Q456" s="23" t="str">
        <f aca="false">IF(D456="","",IF(D456='Impact Check'!$B$3,COUNTIF($D$3:D456,'Impact Check'!$B$3),""))</f>
        <v/>
      </c>
    </row>
    <row r="457" customFormat="false" ht="15" hidden="false" customHeight="false" outlineLevel="0" collapsed="false">
      <c r="P457" s="23" t="str">
        <f aca="false">IF(H457="","",IF(H457='Impact Check'!$B$3,COUNTIF($H$3:H457,'Impact Check'!$B$3),""))</f>
        <v/>
      </c>
      <c r="Q457" s="23" t="str">
        <f aca="false">IF(D457="","",IF(D457='Impact Check'!$B$3,COUNTIF($D$3:D457,'Impact Check'!$B$3),""))</f>
        <v/>
      </c>
    </row>
    <row r="458" customFormat="false" ht="15" hidden="false" customHeight="false" outlineLevel="0" collapsed="false">
      <c r="P458" s="23" t="str">
        <f aca="false">IF(H458="","",IF(H458='Impact Check'!$B$3,COUNTIF($H$3:H458,'Impact Check'!$B$3),""))</f>
        <v/>
      </c>
      <c r="Q458" s="23" t="str">
        <f aca="false">IF(D458="","",IF(D458='Impact Check'!$B$3,COUNTIF($D$3:D458,'Impact Check'!$B$3),""))</f>
        <v/>
      </c>
    </row>
    <row r="459" customFormat="false" ht="15" hidden="false" customHeight="false" outlineLevel="0" collapsed="false">
      <c r="P459" s="23" t="str">
        <f aca="false">IF(H459="","",IF(H459='Impact Check'!$B$3,COUNTIF($H$3:H459,'Impact Check'!$B$3),""))</f>
        <v/>
      </c>
      <c r="Q459" s="23" t="str">
        <f aca="false">IF(D459="","",IF(D459='Impact Check'!$B$3,COUNTIF($D$3:D459,'Impact Check'!$B$3),""))</f>
        <v/>
      </c>
    </row>
    <row r="460" customFormat="false" ht="15" hidden="false" customHeight="false" outlineLevel="0" collapsed="false">
      <c r="P460" s="23" t="str">
        <f aca="false">IF(H460="","",IF(H460='Impact Check'!$B$3,COUNTIF($H$3:H460,'Impact Check'!$B$3),""))</f>
        <v/>
      </c>
      <c r="Q460" s="23" t="str">
        <f aca="false">IF(D460="","",IF(D460='Impact Check'!$B$3,COUNTIF($D$3:D460,'Impact Check'!$B$3),""))</f>
        <v/>
      </c>
    </row>
    <row r="461" customFormat="false" ht="15" hidden="false" customHeight="false" outlineLevel="0" collapsed="false">
      <c r="P461" s="23" t="str">
        <f aca="false">IF(H461="","",IF(H461='Impact Check'!$B$3,COUNTIF($H$3:H461,'Impact Check'!$B$3),""))</f>
        <v/>
      </c>
      <c r="Q461" s="23" t="str">
        <f aca="false">IF(D461="","",IF(D461='Impact Check'!$B$3,COUNTIF($D$3:D461,'Impact Check'!$B$3),""))</f>
        <v/>
      </c>
    </row>
    <row r="462" customFormat="false" ht="15" hidden="false" customHeight="false" outlineLevel="0" collapsed="false">
      <c r="P462" s="23" t="str">
        <f aca="false">IF(H462="","",IF(H462='Impact Check'!$B$3,COUNTIF($H$3:H462,'Impact Check'!$B$3),""))</f>
        <v/>
      </c>
      <c r="Q462" s="23" t="str">
        <f aca="false">IF(D462="","",IF(D462='Impact Check'!$B$3,COUNTIF($D$3:D462,'Impact Check'!$B$3),""))</f>
        <v/>
      </c>
    </row>
    <row r="463" customFormat="false" ht="15" hidden="false" customHeight="false" outlineLevel="0" collapsed="false">
      <c r="P463" s="23" t="str">
        <f aca="false">IF(H463="","",IF(H463='Impact Check'!$B$3,COUNTIF($H$3:H463,'Impact Check'!$B$3),""))</f>
        <v/>
      </c>
      <c r="Q463" s="23" t="str">
        <f aca="false">IF(D463="","",IF(D463='Impact Check'!$B$3,COUNTIF($D$3:D463,'Impact Check'!$B$3),""))</f>
        <v/>
      </c>
    </row>
    <row r="464" customFormat="false" ht="15" hidden="false" customHeight="false" outlineLevel="0" collapsed="false">
      <c r="P464" s="23" t="str">
        <f aca="false">IF(H464="","",IF(H464='Impact Check'!$B$3,COUNTIF($H$3:H464,'Impact Check'!$B$3),""))</f>
        <v/>
      </c>
      <c r="Q464" s="23" t="str">
        <f aca="false">IF(D464="","",IF(D464='Impact Check'!$B$3,COUNTIF($D$3:D464,'Impact Check'!$B$3),""))</f>
        <v/>
      </c>
    </row>
    <row r="465" customFormat="false" ht="15" hidden="false" customHeight="false" outlineLevel="0" collapsed="false">
      <c r="P465" s="23" t="str">
        <f aca="false">IF(H465="","",IF(H465='Impact Check'!$B$3,COUNTIF($H$3:H465,'Impact Check'!$B$3),""))</f>
        <v/>
      </c>
      <c r="Q465" s="23" t="str">
        <f aca="false">IF(D465="","",IF(D465='Impact Check'!$B$3,COUNTIF($D$3:D465,'Impact Check'!$B$3),""))</f>
        <v/>
      </c>
    </row>
    <row r="466" customFormat="false" ht="15" hidden="false" customHeight="false" outlineLevel="0" collapsed="false">
      <c r="P466" s="23" t="str">
        <f aca="false">IF(H466="","",IF(H466='Impact Check'!$B$3,COUNTIF($H$3:H466,'Impact Check'!$B$3),""))</f>
        <v/>
      </c>
      <c r="Q466" s="23" t="str">
        <f aca="false">IF(D466="","",IF(D466='Impact Check'!$B$3,COUNTIF($D$3:D466,'Impact Check'!$B$3),""))</f>
        <v/>
      </c>
    </row>
    <row r="467" customFormat="false" ht="15" hidden="false" customHeight="false" outlineLevel="0" collapsed="false">
      <c r="P467" s="23" t="str">
        <f aca="false">IF(H467="","",IF(H467='Impact Check'!$B$3,COUNTIF($H$3:H467,'Impact Check'!$B$3),""))</f>
        <v/>
      </c>
      <c r="Q467" s="23" t="str">
        <f aca="false">IF(D467="","",IF(D467='Impact Check'!$B$3,COUNTIF($D$3:D467,'Impact Check'!$B$3),""))</f>
        <v/>
      </c>
    </row>
    <row r="468" customFormat="false" ht="15" hidden="false" customHeight="false" outlineLevel="0" collapsed="false">
      <c r="P468" s="23" t="str">
        <f aca="false">IF(H468="","",IF(H468='Impact Check'!$B$3,COUNTIF($H$3:H468,'Impact Check'!$B$3),""))</f>
        <v/>
      </c>
      <c r="Q468" s="23" t="str">
        <f aca="false">IF(D468="","",IF(D468='Impact Check'!$B$3,COUNTIF($D$3:D468,'Impact Check'!$B$3),""))</f>
        <v/>
      </c>
    </row>
    <row r="469" customFormat="false" ht="15" hidden="false" customHeight="false" outlineLevel="0" collapsed="false">
      <c r="P469" s="23" t="str">
        <f aca="false">IF(H469="","",IF(H469='Impact Check'!$B$3,COUNTIF($H$3:H469,'Impact Check'!$B$3),""))</f>
        <v/>
      </c>
      <c r="Q469" s="23" t="str">
        <f aca="false">IF(D469="","",IF(D469='Impact Check'!$B$3,COUNTIF($D$3:D469,'Impact Check'!$B$3),""))</f>
        <v/>
      </c>
    </row>
    <row r="470" customFormat="false" ht="15" hidden="false" customHeight="false" outlineLevel="0" collapsed="false">
      <c r="P470" s="23" t="str">
        <f aca="false">IF(H470="","",IF(H470='Impact Check'!$B$3,COUNTIF($H$3:H470,'Impact Check'!$B$3),""))</f>
        <v/>
      </c>
      <c r="Q470" s="23" t="str">
        <f aca="false">IF(D470="","",IF(D470='Impact Check'!$B$3,COUNTIF($D$3:D470,'Impact Check'!$B$3),""))</f>
        <v/>
      </c>
    </row>
    <row r="471" customFormat="false" ht="15" hidden="false" customHeight="false" outlineLevel="0" collapsed="false">
      <c r="P471" s="23" t="str">
        <f aca="false">IF(H471="","",IF(H471='Impact Check'!$B$3,COUNTIF($H$3:H471,'Impact Check'!$B$3),""))</f>
        <v/>
      </c>
      <c r="Q471" s="23" t="str">
        <f aca="false">IF(D471="","",IF(D471='Impact Check'!$B$3,COUNTIF($D$3:D471,'Impact Check'!$B$3),""))</f>
        <v/>
      </c>
    </row>
    <row r="472" customFormat="false" ht="15" hidden="false" customHeight="false" outlineLevel="0" collapsed="false">
      <c r="P472" s="23" t="str">
        <f aca="false">IF(H472="","",IF(H472='Impact Check'!$B$3,COUNTIF($H$3:H472,'Impact Check'!$B$3),""))</f>
        <v/>
      </c>
      <c r="Q472" s="23" t="str">
        <f aca="false">IF(D472="","",IF(D472='Impact Check'!$B$3,COUNTIF($D$3:D472,'Impact Check'!$B$3),""))</f>
        <v/>
      </c>
    </row>
    <row r="473" customFormat="false" ht="15" hidden="false" customHeight="false" outlineLevel="0" collapsed="false">
      <c r="P473" s="23" t="str">
        <f aca="false">IF(H473="","",IF(H473='Impact Check'!$B$3,COUNTIF($H$3:H473,'Impact Check'!$B$3),""))</f>
        <v/>
      </c>
      <c r="Q473" s="23" t="str">
        <f aca="false">IF(D473="","",IF(D473='Impact Check'!$B$3,COUNTIF($D$3:D473,'Impact Check'!$B$3),""))</f>
        <v/>
      </c>
    </row>
    <row r="474" customFormat="false" ht="15" hidden="false" customHeight="false" outlineLevel="0" collapsed="false">
      <c r="P474" s="23" t="str">
        <f aca="false">IF(H474="","",IF(H474='Impact Check'!$B$3,COUNTIF($H$3:H474,'Impact Check'!$B$3),""))</f>
        <v/>
      </c>
      <c r="Q474" s="23" t="str">
        <f aca="false">IF(D474="","",IF(D474='Impact Check'!$B$3,COUNTIF($D$3:D474,'Impact Check'!$B$3),""))</f>
        <v/>
      </c>
    </row>
    <row r="475" customFormat="false" ht="15" hidden="false" customHeight="false" outlineLevel="0" collapsed="false">
      <c r="P475" s="23" t="str">
        <f aca="false">IF(H475="","",IF(H475='Impact Check'!$B$3,COUNTIF($H$3:H475,'Impact Check'!$B$3),""))</f>
        <v/>
      </c>
      <c r="Q475" s="23" t="str">
        <f aca="false">IF(D475="","",IF(D475='Impact Check'!$B$3,COUNTIF($D$3:D475,'Impact Check'!$B$3),""))</f>
        <v/>
      </c>
    </row>
    <row r="476" customFormat="false" ht="15" hidden="false" customHeight="false" outlineLevel="0" collapsed="false">
      <c r="P476" s="23" t="str">
        <f aca="false">IF(H476="","",IF(H476='Impact Check'!$B$3,COUNTIF($H$3:H476,'Impact Check'!$B$3),""))</f>
        <v/>
      </c>
      <c r="Q476" s="23" t="str">
        <f aca="false">IF(D476="","",IF(D476='Impact Check'!$B$3,COUNTIF($D$3:D476,'Impact Check'!$B$3),""))</f>
        <v/>
      </c>
    </row>
    <row r="477" customFormat="false" ht="15" hidden="false" customHeight="false" outlineLevel="0" collapsed="false">
      <c r="P477" s="23" t="str">
        <f aca="false">IF(H477="","",IF(H477='Impact Check'!$B$3,COUNTIF($H$3:H477,'Impact Check'!$B$3),""))</f>
        <v/>
      </c>
      <c r="Q477" s="23" t="str">
        <f aca="false">IF(D477="","",IF(D477='Impact Check'!$B$3,COUNTIF($D$3:D477,'Impact Check'!$B$3),""))</f>
        <v/>
      </c>
    </row>
    <row r="478" customFormat="false" ht="15" hidden="false" customHeight="false" outlineLevel="0" collapsed="false">
      <c r="P478" s="23" t="str">
        <f aca="false">IF(H478="","",IF(H478='Impact Check'!$B$3,COUNTIF($H$3:H478,'Impact Check'!$B$3),""))</f>
        <v/>
      </c>
      <c r="Q478" s="23" t="str">
        <f aca="false">IF(D478="","",IF(D478='Impact Check'!$B$3,COUNTIF($D$3:D478,'Impact Check'!$B$3),""))</f>
        <v/>
      </c>
    </row>
    <row r="479" customFormat="false" ht="15" hidden="false" customHeight="false" outlineLevel="0" collapsed="false">
      <c r="P479" s="23" t="str">
        <f aca="false">IF(H479="","",IF(H479='Impact Check'!$B$3,COUNTIF($H$3:H479,'Impact Check'!$B$3),""))</f>
        <v/>
      </c>
      <c r="Q479" s="23" t="str">
        <f aca="false">IF(D479="","",IF(D479='Impact Check'!$B$3,COUNTIF($D$3:D479,'Impact Check'!$B$3),""))</f>
        <v/>
      </c>
    </row>
    <row r="480" customFormat="false" ht="15" hidden="false" customHeight="false" outlineLevel="0" collapsed="false">
      <c r="P480" s="23" t="str">
        <f aca="false">IF(H480="","",IF(H480='Impact Check'!$B$3,COUNTIF($H$3:H480,'Impact Check'!$B$3),""))</f>
        <v/>
      </c>
      <c r="Q480" s="23" t="str">
        <f aca="false">IF(D480="","",IF(D480='Impact Check'!$B$3,COUNTIF($D$3:D480,'Impact Check'!$B$3),""))</f>
        <v/>
      </c>
    </row>
    <row r="481" customFormat="false" ht="15" hidden="false" customHeight="false" outlineLevel="0" collapsed="false">
      <c r="P481" s="23" t="str">
        <f aca="false">IF(H481="","",IF(H481='Impact Check'!$B$3,COUNTIF($H$3:H481,'Impact Check'!$B$3),""))</f>
        <v/>
      </c>
      <c r="Q481" s="23" t="str">
        <f aca="false">IF(D481="","",IF(D481='Impact Check'!$B$3,COUNTIF($D$3:D481,'Impact Check'!$B$3),""))</f>
        <v/>
      </c>
    </row>
    <row r="482" customFormat="false" ht="15" hidden="false" customHeight="false" outlineLevel="0" collapsed="false">
      <c r="P482" s="23" t="str">
        <f aca="false">IF(H482="","",IF(H482='Impact Check'!$B$3,COUNTIF($H$3:H482,'Impact Check'!$B$3),""))</f>
        <v/>
      </c>
      <c r="Q482" s="23" t="str">
        <f aca="false">IF(D482="","",IF(D482='Impact Check'!$B$3,COUNTIF($D$3:D482,'Impact Check'!$B$3),""))</f>
        <v/>
      </c>
    </row>
    <row r="483" customFormat="false" ht="15" hidden="false" customHeight="false" outlineLevel="0" collapsed="false">
      <c r="P483" s="23" t="str">
        <f aca="false">IF(H483="","",IF(H483='Impact Check'!$B$3,COUNTIF($H$3:H483,'Impact Check'!$B$3),""))</f>
        <v/>
      </c>
      <c r="Q483" s="23" t="str">
        <f aca="false">IF(D483="","",IF(D483='Impact Check'!$B$3,COUNTIF($D$3:D483,'Impact Check'!$B$3),""))</f>
        <v/>
      </c>
    </row>
    <row r="484" customFormat="false" ht="15" hidden="false" customHeight="false" outlineLevel="0" collapsed="false">
      <c r="P484" s="23" t="str">
        <f aca="false">IF(H484="","",IF(H484='Impact Check'!$B$3,COUNTIF($H$3:H484,'Impact Check'!$B$3),""))</f>
        <v/>
      </c>
      <c r="Q484" s="23" t="str">
        <f aca="false">IF(D484="","",IF(D484='Impact Check'!$B$3,COUNTIF($D$3:D484,'Impact Check'!$B$3),""))</f>
        <v/>
      </c>
    </row>
    <row r="485" customFormat="false" ht="15" hidden="false" customHeight="false" outlineLevel="0" collapsed="false">
      <c r="P485" s="23" t="str">
        <f aca="false">IF(H485="","",IF(H485='Impact Check'!$B$3,COUNTIF($H$3:H485,'Impact Check'!$B$3),""))</f>
        <v/>
      </c>
      <c r="Q485" s="23" t="str">
        <f aca="false">IF(D485="","",IF(D485='Impact Check'!$B$3,COUNTIF($D$3:D485,'Impact Check'!$B$3),""))</f>
        <v/>
      </c>
    </row>
    <row r="486" customFormat="false" ht="15" hidden="false" customHeight="false" outlineLevel="0" collapsed="false">
      <c r="P486" s="23" t="str">
        <f aca="false">IF(H486="","",IF(H486='Impact Check'!$B$3,COUNTIF($H$3:H486,'Impact Check'!$B$3),""))</f>
        <v/>
      </c>
      <c r="Q486" s="23" t="str">
        <f aca="false">IF(D486="","",IF(D486='Impact Check'!$B$3,COUNTIF($D$3:D486,'Impact Check'!$B$3),""))</f>
        <v/>
      </c>
    </row>
    <row r="487" customFormat="false" ht="15" hidden="false" customHeight="false" outlineLevel="0" collapsed="false">
      <c r="P487" s="23" t="str">
        <f aca="false">IF(H487="","",IF(H487='Impact Check'!$B$3,COUNTIF($H$3:H487,'Impact Check'!$B$3),""))</f>
        <v/>
      </c>
      <c r="Q487" s="23" t="str">
        <f aca="false">IF(D487="","",IF(D487='Impact Check'!$B$3,COUNTIF($D$3:D487,'Impact Check'!$B$3),""))</f>
        <v/>
      </c>
    </row>
    <row r="488" customFormat="false" ht="15" hidden="false" customHeight="false" outlineLevel="0" collapsed="false">
      <c r="P488" s="23" t="str">
        <f aca="false">IF(H488="","",IF(H488='Impact Check'!$B$3,COUNTIF($H$3:H488,'Impact Check'!$B$3),""))</f>
        <v/>
      </c>
      <c r="Q488" s="23" t="str">
        <f aca="false">IF(D488="","",IF(D488='Impact Check'!$B$3,COUNTIF($D$3:D488,'Impact Check'!$B$3),""))</f>
        <v/>
      </c>
    </row>
    <row r="489" customFormat="false" ht="15" hidden="false" customHeight="false" outlineLevel="0" collapsed="false">
      <c r="P489" s="23" t="str">
        <f aca="false">IF(H489="","",IF(H489='Impact Check'!$B$3,COUNTIF($H$3:H489,'Impact Check'!$B$3),""))</f>
        <v/>
      </c>
      <c r="Q489" s="23" t="str">
        <f aca="false">IF(D489="","",IF(D489='Impact Check'!$B$3,COUNTIF($D$3:D489,'Impact Check'!$B$3),""))</f>
        <v/>
      </c>
    </row>
    <row r="490" customFormat="false" ht="15" hidden="false" customHeight="false" outlineLevel="0" collapsed="false">
      <c r="P490" s="23" t="str">
        <f aca="false">IF(H490="","",IF(H490='Impact Check'!$B$3,COUNTIF($H$3:H490,'Impact Check'!$B$3),""))</f>
        <v/>
      </c>
      <c r="Q490" s="23" t="str">
        <f aca="false">IF(D490="","",IF(D490='Impact Check'!$B$3,COUNTIF($D$3:D490,'Impact Check'!$B$3),""))</f>
        <v/>
      </c>
    </row>
    <row r="491" customFormat="false" ht="15" hidden="false" customHeight="false" outlineLevel="0" collapsed="false">
      <c r="P491" s="23" t="str">
        <f aca="false">IF(H491="","",IF(H491='Impact Check'!$B$3,COUNTIF($H$3:H491,'Impact Check'!$B$3),""))</f>
        <v/>
      </c>
      <c r="Q491" s="23" t="str">
        <f aca="false">IF(D491="","",IF(D491='Impact Check'!$B$3,COUNTIF($D$3:D491,'Impact Check'!$B$3),""))</f>
        <v/>
      </c>
    </row>
    <row r="492" customFormat="false" ht="15" hidden="false" customHeight="false" outlineLevel="0" collapsed="false">
      <c r="P492" s="23" t="str">
        <f aca="false">IF(H492="","",IF(H492='Impact Check'!$B$3,COUNTIF($H$3:H492,'Impact Check'!$B$3),""))</f>
        <v/>
      </c>
      <c r="Q492" s="23" t="str">
        <f aca="false">IF(D492="","",IF(D492='Impact Check'!$B$3,COUNTIF($D$3:D492,'Impact Check'!$B$3),""))</f>
        <v/>
      </c>
    </row>
    <row r="493" customFormat="false" ht="15" hidden="false" customHeight="false" outlineLevel="0" collapsed="false">
      <c r="P493" s="23" t="str">
        <f aca="false">IF(H493="","",IF(H493='Impact Check'!$B$3,COUNTIF($H$3:H493,'Impact Check'!$B$3),""))</f>
        <v/>
      </c>
      <c r="Q493" s="23" t="str">
        <f aca="false">IF(D493="","",IF(D493='Impact Check'!$B$3,COUNTIF($D$3:D493,'Impact Check'!$B$3),""))</f>
        <v/>
      </c>
    </row>
    <row r="494" customFormat="false" ht="15" hidden="false" customHeight="false" outlineLevel="0" collapsed="false">
      <c r="P494" s="23" t="str">
        <f aca="false">IF(H494="","",IF(H494='Impact Check'!$B$3,COUNTIF($H$3:H494,'Impact Check'!$B$3),""))</f>
        <v/>
      </c>
      <c r="Q494" s="23" t="str">
        <f aca="false">IF(D494="","",IF(D494='Impact Check'!$B$3,COUNTIF($D$3:D494,'Impact Check'!$B$3),""))</f>
        <v/>
      </c>
    </row>
    <row r="495" customFormat="false" ht="15" hidden="false" customHeight="false" outlineLevel="0" collapsed="false">
      <c r="P495" s="23" t="str">
        <f aca="false">IF(H495="","",IF(H495='Impact Check'!$B$3,COUNTIF($H$3:H495,'Impact Check'!$B$3),""))</f>
        <v/>
      </c>
      <c r="Q495" s="23" t="str">
        <f aca="false">IF(D495="","",IF(D495='Impact Check'!$B$3,COUNTIF($D$3:D495,'Impact Check'!$B$3),""))</f>
        <v/>
      </c>
    </row>
    <row r="496" customFormat="false" ht="15" hidden="false" customHeight="false" outlineLevel="0" collapsed="false">
      <c r="P496" s="23" t="str">
        <f aca="false">IF(H496="","",IF(H496='Impact Check'!$B$3,COUNTIF($H$3:H496,'Impact Check'!$B$3),""))</f>
        <v/>
      </c>
      <c r="Q496" s="23" t="str">
        <f aca="false">IF(D496="","",IF(D496='Impact Check'!$B$3,COUNTIF($D$3:D496,'Impact Check'!$B$3),""))</f>
        <v/>
      </c>
    </row>
    <row r="497" customFormat="false" ht="15" hidden="false" customHeight="false" outlineLevel="0" collapsed="false">
      <c r="P497" s="23" t="str">
        <f aca="false">IF(H497="","",IF(H497='Impact Check'!$B$3,COUNTIF($H$3:H497,'Impact Check'!$B$3),""))</f>
        <v/>
      </c>
      <c r="Q497" s="23" t="str">
        <f aca="false">IF(D497="","",IF(D497='Impact Check'!$B$3,COUNTIF($D$3:D497,'Impact Check'!$B$3),""))</f>
        <v/>
      </c>
    </row>
    <row r="498" customFormat="false" ht="15" hidden="false" customHeight="false" outlineLevel="0" collapsed="false">
      <c r="P498" s="23" t="str">
        <f aca="false">IF(H498="","",IF(H498='Impact Check'!$B$3,COUNTIF($H$3:H498,'Impact Check'!$B$3),""))</f>
        <v/>
      </c>
      <c r="Q498" s="23" t="str">
        <f aca="false">IF(D498="","",IF(D498='Impact Check'!$B$3,COUNTIF($D$3:D498,'Impact Check'!$B$3),""))</f>
        <v/>
      </c>
    </row>
    <row r="499" customFormat="false" ht="15" hidden="false" customHeight="false" outlineLevel="0" collapsed="false">
      <c r="P499" s="23" t="str">
        <f aca="false">IF(H499="","",IF(H499='Impact Check'!$B$3,COUNTIF($H$3:H499,'Impact Check'!$B$3),""))</f>
        <v/>
      </c>
      <c r="Q499" s="23" t="str">
        <f aca="false">IF(D499="","",IF(D499='Impact Check'!$B$3,COUNTIF($D$3:D499,'Impact Check'!$B$3),""))</f>
        <v/>
      </c>
    </row>
    <row r="500" customFormat="false" ht="15" hidden="false" customHeight="false" outlineLevel="0" collapsed="false">
      <c r="P500" s="23" t="str">
        <f aca="false">IF(H500="","",IF(H500='Impact Check'!$B$3,COUNTIF($H$3:H500,'Impact Check'!$B$3),""))</f>
        <v/>
      </c>
      <c r="Q500" s="23" t="str">
        <f aca="false">IF(D500="","",IF(D500='Impact Check'!$B$3,COUNTIF($D$3:D500,'Impact Check'!$B$3),""))</f>
        <v/>
      </c>
    </row>
    <row r="501" customFormat="false" ht="15" hidden="false" customHeight="false" outlineLevel="0" collapsed="false">
      <c r="P501" s="23" t="str">
        <f aca="false">IF(H501="","",IF(H501='Impact Check'!$B$3,COUNTIF($H$3:H501,'Impact Check'!$B$3),""))</f>
        <v/>
      </c>
      <c r="Q501" s="23" t="str">
        <f aca="false">IF(D501="","",IF(D501='Impact Check'!$B$3,COUNTIF($D$3:D501,'Impact Check'!$B$3),""))</f>
        <v/>
      </c>
    </row>
    <row r="502" customFormat="false" ht="15" hidden="false" customHeight="false" outlineLevel="0" collapsed="false">
      <c r="P502" s="23" t="str">
        <f aca="false">IF(H502="","",IF(H502='Impact Check'!$B$3,COUNTIF($H$3:H502,'Impact Check'!$B$3),""))</f>
        <v/>
      </c>
      <c r="Q502" s="23" t="str">
        <f aca="false">IF(D502="","",IF(D502='Impact Check'!$B$3,COUNTIF($D$3:D502,'Impact Check'!$B$3),""))</f>
        <v/>
      </c>
    </row>
  </sheetData>
  <autoFilter ref="A2:Q502"/>
  <conditionalFormatting sqref="J3:J502">
    <cfRule type="cellIs" priority="2" operator="equal" aboveAverage="0" equalAverage="0" bottom="0" percent="0" rank="0" text="" dxfId="12">
      <formula>"Critical"</formula>
    </cfRule>
    <cfRule type="cellIs" priority="3" operator="equal" aboveAverage="0" equalAverage="0" bottom="0" percent="0" rank="0" text="" dxfId="2">
      <formula>"High"</formula>
    </cfRule>
    <cfRule type="cellIs" priority="4" operator="equal" aboveAverage="0" equalAverage="0" bottom="0" percent="0" rank="0" text="" dxfId="1">
      <formula>"Medium"</formula>
    </cfRule>
    <cfRule type="cellIs" priority="5" operator="equal" aboveAverage="0" equalAverage="0" bottom="0" percent="0" rank="0" text="" dxfId="0">
      <formula>"Low"</formula>
    </cfRule>
  </conditionalFormatting>
  <conditionalFormatting sqref="L3:L502">
    <cfRule type="cellIs" priority="6" operator="equal" aboveAverage="0" equalAverage="0" bottom="0" percent="0" rank="0" text="" dxfId="0">
      <formula>"High"</formula>
    </cfRule>
    <cfRule type="cellIs" priority="7" operator="equal" aboveAverage="0" equalAverage="0" bottom="0" percent="0" rank="0" text="" dxfId="1">
      <formula>"Medium"</formula>
    </cfRule>
    <cfRule type="cellIs" priority="8" operator="equal" aboveAverage="0" equalAverage="0" bottom="0" percent="0" rank="0" text="" dxfId="2">
      <formula>"Low"</formula>
    </cfRule>
    <cfRule type="cellIs" priority="9" operator="equal" aboveAverage="0" equalAverage="0" bottom="0" percent="0" rank="0" text="" dxfId="3">
      <formula>"Unknown"</formula>
    </cfRule>
  </conditionalFormatting>
  <dataValidations count="6">
    <dataValidation allowBlank="true" error="Use the dropdown. Edit lists on the Reference Lists sheet." errorStyle="stop" errorTitle="Pick from list" operator="between" showDropDown="false" showErrorMessage="true" showInputMessage="false" sqref="C3:C502" type="list">
      <formula1>'Reference Lists'!$A$2:$A$32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E3:E502" type="list">
      <formula1>'Reference Lists'!$R$2:$R$24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G3:G502" type="list">
      <formula1>'Reference Lists'!$A$2:$A$32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I3:I502" type="list">
      <formula1>'Reference Lists'!$S$2:$S$11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J3:J502" type="list">
      <formula1>'Reference Lists'!$E$2:$E$6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L3:L502" type="list">
      <formula1>'Reference Lists'!$G$2:$G$5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4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34"/>
  </cols>
  <sheetData>
    <row r="1" customFormat="false" ht="15" hidden="false" customHeight="false" outlineLevel="0" collapsed="false">
      <c r="A1" s="24" t="s">
        <v>610</v>
      </c>
    </row>
    <row r="3" customFormat="false" ht="15" hidden="false" customHeight="false" outlineLevel="0" collapsed="false">
      <c r="A3" s="11" t="s">
        <v>611</v>
      </c>
      <c r="B3" s="25" t="s">
        <v>238</v>
      </c>
      <c r="C3" s="16" t="s">
        <v>612</v>
      </c>
    </row>
    <row r="5" customFormat="false" ht="15" hidden="false" customHeight="false" outlineLevel="0" collapsed="false">
      <c r="A5" s="11" t="s">
        <v>613</v>
      </c>
      <c r="B5" s="5" t="n">
        <f aca="false">COUNTIF(Dependencies!$H$3:$H$502,B3)</f>
        <v>4</v>
      </c>
    </row>
    <row r="6" customFormat="false" ht="15" hidden="false" customHeight="false" outlineLevel="0" collapsed="false">
      <c r="A6" s="11" t="s">
        <v>614</v>
      </c>
      <c r="B6" s="5" t="n">
        <f aca="false">COUNTIF(Dependencies!$D$3:$D$502,B3)</f>
        <v>0</v>
      </c>
    </row>
    <row r="7" customFormat="false" ht="15" hidden="false" customHeight="false" outlineLevel="0" collapsed="false">
      <c r="A7" s="11" t="s">
        <v>615</v>
      </c>
      <c r="B7" s="5" t="str">
        <f aca="false">IF(B5+B6=0,"Nothing recorded. That means 'not documented', NOT 'no dependencies'. Log an Unknown.",IF(COUNTIFS(Dependencies!$H$3:$H$502,B3,Dependencies!$L$3:$L$502,"Low")+COUNTIFS(Dependencies!$D$3:$D$502,B3,Dependencies!$L$3:$L$502,"Low")&gt;0,"Some links are Low confidence - verify before relying on this list.","OK"))</f>
        <v>Some links are Low confidence - verify before relying on this list.</v>
      </c>
    </row>
    <row r="9" customFormat="false" ht="15" hidden="false" customHeight="false" outlineLevel="0" collapsed="false">
      <c r="A9" s="26" t="s">
        <v>616</v>
      </c>
      <c r="B9" s="27"/>
      <c r="C9" s="27"/>
      <c r="D9" s="27"/>
      <c r="E9" s="27"/>
      <c r="F9" s="27"/>
      <c r="G9" s="27"/>
      <c r="H9" s="27"/>
    </row>
    <row r="10" customFormat="false" ht="15" hidden="false" customHeight="false" outlineLevel="0" collapsed="false">
      <c r="A10" s="13" t="s">
        <v>617</v>
      </c>
      <c r="B10" s="13" t="s">
        <v>618</v>
      </c>
      <c r="C10" s="13" t="s">
        <v>580</v>
      </c>
      <c r="D10" s="13" t="s">
        <v>619</v>
      </c>
      <c r="E10" s="13" t="s">
        <v>584</v>
      </c>
      <c r="F10" s="13" t="s">
        <v>227</v>
      </c>
      <c r="G10" s="13" t="s">
        <v>166</v>
      </c>
      <c r="H10" s="13" t="s">
        <v>585</v>
      </c>
    </row>
    <row r="11" customFormat="false" ht="15" hidden="false" customHeight="false" outlineLevel="0" collapsed="false">
      <c r="A11" s="5" t="n">
        <v>1</v>
      </c>
      <c r="B11" s="5" t="str">
        <f aca="false">IFERROR(INDEX(Dependencies!$D$3:$D$502,MATCH($A11,Dependencies!$P$3:$P$502,0)),"")</f>
        <v>EX Laptop Request Fulfillment</v>
      </c>
      <c r="C11" s="5" t="str">
        <f aca="false">IFERROR(INDEX(Dependencies!$E$3:$E$502,MATCH($A11,Dependencies!$P$3:$P$502,0)),"")</f>
        <v>updates</v>
      </c>
      <c r="D11" s="5" t="str">
        <f aca="false">IFERROR(INDEX(Dependencies!$C$3:$C$502,MATCH($A11,Dependencies!$P$3:$P$502,0)),"")</f>
        <v>Flow</v>
      </c>
      <c r="E11" s="5" t="str">
        <f aca="false">IFERROR(INDEX(Dependencies!$I$3:$I$502,MATCH($A11,Dependencies!$P$3:$P$502,0)),"")</f>
        <v>Data</v>
      </c>
      <c r="F11" s="5" t="str">
        <f aca="false">IFERROR(INDEX(Dependencies!$J$3:$J$502,MATCH($A11,Dependencies!$P$3:$P$502,0)),"")</f>
        <v>Critical</v>
      </c>
      <c r="G11" s="5" t="str">
        <f aca="false">IFERROR(INDEX(Dependencies!$L$3:$L$502,MATCH($A11,Dependencies!$P$3:$P$502,0)),"")</f>
        <v>Medium</v>
      </c>
      <c r="H11" s="5" t="str">
        <f aca="false">IFERROR(INDEX(Dependencies!$K$3:$K$502,MATCH($A11,Dependencies!$P$3:$P$502,0)),"")</f>
        <v>Fictional</v>
      </c>
    </row>
    <row r="12" customFormat="false" ht="15" hidden="false" customHeight="false" outlineLevel="0" collapsed="false">
      <c r="A12" s="5" t="n">
        <v>2</v>
      </c>
      <c r="B12" s="5" t="str">
        <f aca="false">IFERROR(INDEX(Dependencies!$D$3:$D$502,MATCH($A12,Dependencies!$P$3:$P$502,0)),"")</f>
        <v>EX Set Cost Center Default</v>
      </c>
      <c r="C12" s="5" t="str">
        <f aca="false">IFERROR(INDEX(Dependencies!$E$3:$E$502,MATCH($A12,Dependencies!$P$3:$P$502,0)),"")</f>
        <v>runs on</v>
      </c>
      <c r="D12" s="5" t="str">
        <f aca="false">IFERROR(INDEX(Dependencies!$C$3:$C$502,MATCH($A12,Dependencies!$P$3:$P$502,0)),"")</f>
        <v>Business Rule</v>
      </c>
      <c r="E12" s="5" t="str">
        <f aca="false">IFERROR(INDEX(Dependencies!$I$3:$I$502,MATCH($A12,Dependencies!$P$3:$P$502,0)),"")</f>
        <v>Code</v>
      </c>
      <c r="F12" s="5" t="str">
        <f aca="false">IFERROR(INDEX(Dependencies!$J$3:$J$502,MATCH($A12,Dependencies!$P$3:$P$502,0)),"")</f>
        <v>Medium</v>
      </c>
      <c r="G12" s="5" t="str">
        <f aca="false">IFERROR(INDEX(Dependencies!$L$3:$L$502,MATCH($A12,Dependencies!$P$3:$P$502,0)),"")</f>
        <v>Medium</v>
      </c>
      <c r="H12" s="5" t="str">
        <f aca="false">IFERROR(INDEX(Dependencies!$K$3:$K$502,MATCH($A12,Dependencies!$P$3:$P$502,0)),"")</f>
        <v>Fictional</v>
      </c>
    </row>
    <row r="13" customFormat="false" ht="15" hidden="false" customHeight="false" outlineLevel="0" collapsed="false">
      <c r="A13" s="5" t="n">
        <v>3</v>
      </c>
      <c r="B13" s="5" t="str">
        <f aca="false">IFERROR(INDEX(Dependencies!$D$3:$D$502,MATCH($A13,Dependencies!$P$3:$P$502,0)),"")</f>
        <v>EX ACL write u_ex_asset_request</v>
      </c>
      <c r="C13" s="5" t="str">
        <f aca="false">IFERROR(INDEX(Dependencies!$E$3:$E$502,MATCH($A13,Dependencies!$P$3:$P$502,0)),"")</f>
        <v>protects</v>
      </c>
      <c r="D13" s="5" t="str">
        <f aca="false">IFERROR(INDEX(Dependencies!$C$3:$C$502,MATCH($A13,Dependencies!$P$3:$P$502,0)),"")</f>
        <v>ACL</v>
      </c>
      <c r="E13" s="5" t="str">
        <f aca="false">IFERROR(INDEX(Dependencies!$I$3:$I$502,MATCH($A13,Dependencies!$P$3:$P$502,0)),"")</f>
        <v>Security</v>
      </c>
      <c r="F13" s="5" t="str">
        <f aca="false">IFERROR(INDEX(Dependencies!$J$3:$J$502,MATCH($A13,Dependencies!$P$3:$P$502,0)),"")</f>
        <v>High</v>
      </c>
      <c r="G13" s="5" t="str">
        <f aca="false">IFERROR(INDEX(Dependencies!$L$3:$L$502,MATCH($A13,Dependencies!$P$3:$P$502,0)),"")</f>
        <v>Medium</v>
      </c>
      <c r="H13" s="5" t="str">
        <f aca="false">IFERROR(INDEX(Dependencies!$K$3:$K$502,MATCH($A13,Dependencies!$P$3:$P$502,0)),"")</f>
        <v>Fictional</v>
      </c>
    </row>
    <row r="14" customFormat="false" ht="15" hidden="false" customHeight="false" outlineLevel="0" collapsed="false">
      <c r="A14" s="5" t="n">
        <v>4</v>
      </c>
      <c r="B14" s="5" t="str">
        <f aca="false">IFERROR(INDEX(Dependencies!$D$3:$D$502,MATCH($A14,Dependencies!$P$3:$P$502,0)),"")</f>
        <v>EX Asset Requests Report</v>
      </c>
      <c r="C14" s="5" t="str">
        <f aca="false">IFERROR(INDEX(Dependencies!$E$3:$E$502,MATCH($A14,Dependencies!$P$3:$P$502,0)),"")</f>
        <v>reports on</v>
      </c>
      <c r="D14" s="5" t="str">
        <f aca="false">IFERROR(INDEX(Dependencies!$C$3:$C$502,MATCH($A14,Dependencies!$P$3:$P$502,0)),"")</f>
        <v>Report</v>
      </c>
      <c r="E14" s="5" t="str">
        <f aca="false">IFERROR(INDEX(Dependencies!$I$3:$I$502,MATCH($A14,Dependencies!$P$3:$P$502,0)),"")</f>
        <v>Reporting</v>
      </c>
      <c r="F14" s="5" t="str">
        <f aca="false">IFERROR(INDEX(Dependencies!$J$3:$J$502,MATCH($A14,Dependencies!$P$3:$P$502,0)),"")</f>
        <v>Low</v>
      </c>
      <c r="G14" s="5" t="str">
        <f aca="false">IFERROR(INDEX(Dependencies!$L$3:$L$502,MATCH($A14,Dependencies!$P$3:$P$502,0)),"")</f>
        <v>Low</v>
      </c>
      <c r="H14" s="5" t="str">
        <f aca="false">IFERROR(INDEX(Dependencies!$K$3:$K$502,MATCH($A14,Dependencies!$P$3:$P$502,0)),"")</f>
        <v>Fictional</v>
      </c>
    </row>
    <row r="15" customFormat="false" ht="15" hidden="false" customHeight="false" outlineLevel="0" collapsed="false">
      <c r="A15" s="5" t="n">
        <v>5</v>
      </c>
      <c r="B15" s="5" t="str">
        <f aca="false">IFERROR(INDEX(Dependencies!$D$3:$D$502,MATCH($A15,Dependencies!$P$3:$P$502,0)),"")</f>
        <v/>
      </c>
      <c r="C15" s="5" t="str">
        <f aca="false">IFERROR(INDEX(Dependencies!$E$3:$E$502,MATCH($A15,Dependencies!$P$3:$P$502,0)),"")</f>
        <v/>
      </c>
      <c r="D15" s="5" t="str">
        <f aca="false">IFERROR(INDEX(Dependencies!$C$3:$C$502,MATCH($A15,Dependencies!$P$3:$P$502,0)),"")</f>
        <v/>
      </c>
      <c r="E15" s="5" t="str">
        <f aca="false">IFERROR(INDEX(Dependencies!$I$3:$I$502,MATCH($A15,Dependencies!$P$3:$P$502,0)),"")</f>
        <v/>
      </c>
      <c r="F15" s="5" t="str">
        <f aca="false">IFERROR(INDEX(Dependencies!$J$3:$J$502,MATCH($A15,Dependencies!$P$3:$P$502,0)),"")</f>
        <v/>
      </c>
      <c r="G15" s="5" t="str">
        <f aca="false">IFERROR(INDEX(Dependencies!$L$3:$L$502,MATCH($A15,Dependencies!$P$3:$P$502,0)),"")</f>
        <v/>
      </c>
      <c r="H15" s="5" t="str">
        <f aca="false">IFERROR(INDEX(Dependencies!$K$3:$K$502,MATCH($A15,Dependencies!$P$3:$P$502,0)),"")</f>
        <v/>
      </c>
    </row>
    <row r="16" customFormat="false" ht="15" hidden="false" customHeight="false" outlineLevel="0" collapsed="false">
      <c r="A16" s="5" t="n">
        <v>6</v>
      </c>
      <c r="B16" s="5" t="str">
        <f aca="false">IFERROR(INDEX(Dependencies!$D$3:$D$502,MATCH($A16,Dependencies!$P$3:$P$502,0)),"")</f>
        <v/>
      </c>
      <c r="C16" s="5" t="str">
        <f aca="false">IFERROR(INDEX(Dependencies!$E$3:$E$502,MATCH($A16,Dependencies!$P$3:$P$502,0)),"")</f>
        <v/>
      </c>
      <c r="D16" s="5" t="str">
        <f aca="false">IFERROR(INDEX(Dependencies!$C$3:$C$502,MATCH($A16,Dependencies!$P$3:$P$502,0)),"")</f>
        <v/>
      </c>
      <c r="E16" s="5" t="str">
        <f aca="false">IFERROR(INDEX(Dependencies!$I$3:$I$502,MATCH($A16,Dependencies!$P$3:$P$502,0)),"")</f>
        <v/>
      </c>
      <c r="F16" s="5" t="str">
        <f aca="false">IFERROR(INDEX(Dependencies!$J$3:$J$502,MATCH($A16,Dependencies!$P$3:$P$502,0)),"")</f>
        <v/>
      </c>
      <c r="G16" s="5" t="str">
        <f aca="false">IFERROR(INDEX(Dependencies!$L$3:$L$502,MATCH($A16,Dependencies!$P$3:$P$502,0)),"")</f>
        <v/>
      </c>
      <c r="H16" s="5" t="str">
        <f aca="false">IFERROR(INDEX(Dependencies!$K$3:$K$502,MATCH($A16,Dependencies!$P$3:$P$502,0)),"")</f>
        <v/>
      </c>
    </row>
    <row r="17" customFormat="false" ht="15" hidden="false" customHeight="false" outlineLevel="0" collapsed="false">
      <c r="A17" s="5" t="n">
        <v>7</v>
      </c>
      <c r="B17" s="5" t="str">
        <f aca="false">IFERROR(INDEX(Dependencies!$D$3:$D$502,MATCH($A17,Dependencies!$P$3:$P$502,0)),"")</f>
        <v/>
      </c>
      <c r="C17" s="5" t="str">
        <f aca="false">IFERROR(INDEX(Dependencies!$E$3:$E$502,MATCH($A17,Dependencies!$P$3:$P$502,0)),"")</f>
        <v/>
      </c>
      <c r="D17" s="5" t="str">
        <f aca="false">IFERROR(INDEX(Dependencies!$C$3:$C$502,MATCH($A17,Dependencies!$P$3:$P$502,0)),"")</f>
        <v/>
      </c>
      <c r="E17" s="5" t="str">
        <f aca="false">IFERROR(INDEX(Dependencies!$I$3:$I$502,MATCH($A17,Dependencies!$P$3:$P$502,0)),"")</f>
        <v/>
      </c>
      <c r="F17" s="5" t="str">
        <f aca="false">IFERROR(INDEX(Dependencies!$J$3:$J$502,MATCH($A17,Dependencies!$P$3:$P$502,0)),"")</f>
        <v/>
      </c>
      <c r="G17" s="5" t="str">
        <f aca="false">IFERROR(INDEX(Dependencies!$L$3:$L$502,MATCH($A17,Dependencies!$P$3:$P$502,0)),"")</f>
        <v/>
      </c>
      <c r="H17" s="5" t="str">
        <f aca="false">IFERROR(INDEX(Dependencies!$K$3:$K$502,MATCH($A17,Dependencies!$P$3:$P$502,0)),"")</f>
        <v/>
      </c>
    </row>
    <row r="18" customFormat="false" ht="15" hidden="false" customHeight="false" outlineLevel="0" collapsed="false">
      <c r="A18" s="5" t="n">
        <v>8</v>
      </c>
      <c r="B18" s="5" t="str">
        <f aca="false">IFERROR(INDEX(Dependencies!$D$3:$D$502,MATCH($A18,Dependencies!$P$3:$P$502,0)),"")</f>
        <v/>
      </c>
      <c r="C18" s="5" t="str">
        <f aca="false">IFERROR(INDEX(Dependencies!$E$3:$E$502,MATCH($A18,Dependencies!$P$3:$P$502,0)),"")</f>
        <v/>
      </c>
      <c r="D18" s="5" t="str">
        <f aca="false">IFERROR(INDEX(Dependencies!$C$3:$C$502,MATCH($A18,Dependencies!$P$3:$P$502,0)),"")</f>
        <v/>
      </c>
      <c r="E18" s="5" t="str">
        <f aca="false">IFERROR(INDEX(Dependencies!$I$3:$I$502,MATCH($A18,Dependencies!$P$3:$P$502,0)),"")</f>
        <v/>
      </c>
      <c r="F18" s="5" t="str">
        <f aca="false">IFERROR(INDEX(Dependencies!$J$3:$J$502,MATCH($A18,Dependencies!$P$3:$P$502,0)),"")</f>
        <v/>
      </c>
      <c r="G18" s="5" t="str">
        <f aca="false">IFERROR(INDEX(Dependencies!$L$3:$L$502,MATCH($A18,Dependencies!$P$3:$P$502,0)),"")</f>
        <v/>
      </c>
      <c r="H18" s="5" t="str">
        <f aca="false">IFERROR(INDEX(Dependencies!$K$3:$K$502,MATCH($A18,Dependencies!$P$3:$P$502,0)),"")</f>
        <v/>
      </c>
    </row>
    <row r="19" customFormat="false" ht="15" hidden="false" customHeight="false" outlineLevel="0" collapsed="false">
      <c r="A19" s="5" t="n">
        <v>9</v>
      </c>
      <c r="B19" s="5" t="str">
        <f aca="false">IFERROR(INDEX(Dependencies!$D$3:$D$502,MATCH($A19,Dependencies!$P$3:$P$502,0)),"")</f>
        <v/>
      </c>
      <c r="C19" s="5" t="str">
        <f aca="false">IFERROR(INDEX(Dependencies!$E$3:$E$502,MATCH($A19,Dependencies!$P$3:$P$502,0)),"")</f>
        <v/>
      </c>
      <c r="D19" s="5" t="str">
        <f aca="false">IFERROR(INDEX(Dependencies!$C$3:$C$502,MATCH($A19,Dependencies!$P$3:$P$502,0)),"")</f>
        <v/>
      </c>
      <c r="E19" s="5" t="str">
        <f aca="false">IFERROR(INDEX(Dependencies!$I$3:$I$502,MATCH($A19,Dependencies!$P$3:$P$502,0)),"")</f>
        <v/>
      </c>
      <c r="F19" s="5" t="str">
        <f aca="false">IFERROR(INDEX(Dependencies!$J$3:$J$502,MATCH($A19,Dependencies!$P$3:$P$502,0)),"")</f>
        <v/>
      </c>
      <c r="G19" s="5" t="str">
        <f aca="false">IFERROR(INDEX(Dependencies!$L$3:$L$502,MATCH($A19,Dependencies!$P$3:$P$502,0)),"")</f>
        <v/>
      </c>
      <c r="H19" s="5" t="str">
        <f aca="false">IFERROR(INDEX(Dependencies!$K$3:$K$502,MATCH($A19,Dependencies!$P$3:$P$502,0)),"")</f>
        <v/>
      </c>
    </row>
    <row r="20" customFormat="false" ht="15" hidden="false" customHeight="false" outlineLevel="0" collapsed="false">
      <c r="A20" s="5" t="n">
        <v>10</v>
      </c>
      <c r="B20" s="5" t="str">
        <f aca="false">IFERROR(INDEX(Dependencies!$D$3:$D$502,MATCH($A20,Dependencies!$P$3:$P$502,0)),"")</f>
        <v/>
      </c>
      <c r="C20" s="5" t="str">
        <f aca="false">IFERROR(INDEX(Dependencies!$E$3:$E$502,MATCH($A20,Dependencies!$P$3:$P$502,0)),"")</f>
        <v/>
      </c>
      <c r="D20" s="5" t="str">
        <f aca="false">IFERROR(INDEX(Dependencies!$C$3:$C$502,MATCH($A20,Dependencies!$P$3:$P$502,0)),"")</f>
        <v/>
      </c>
      <c r="E20" s="5" t="str">
        <f aca="false">IFERROR(INDEX(Dependencies!$I$3:$I$502,MATCH($A20,Dependencies!$P$3:$P$502,0)),"")</f>
        <v/>
      </c>
      <c r="F20" s="5" t="str">
        <f aca="false">IFERROR(INDEX(Dependencies!$J$3:$J$502,MATCH($A20,Dependencies!$P$3:$P$502,0)),"")</f>
        <v/>
      </c>
      <c r="G20" s="5" t="str">
        <f aca="false">IFERROR(INDEX(Dependencies!$L$3:$L$502,MATCH($A20,Dependencies!$P$3:$P$502,0)),"")</f>
        <v/>
      </c>
      <c r="H20" s="5" t="str">
        <f aca="false">IFERROR(INDEX(Dependencies!$K$3:$K$502,MATCH($A20,Dependencies!$P$3:$P$502,0)),"")</f>
        <v/>
      </c>
    </row>
    <row r="21" customFormat="false" ht="15" hidden="false" customHeight="false" outlineLevel="0" collapsed="false">
      <c r="A21" s="5" t="n">
        <v>11</v>
      </c>
      <c r="B21" s="5" t="str">
        <f aca="false">IFERROR(INDEX(Dependencies!$D$3:$D$502,MATCH($A21,Dependencies!$P$3:$P$502,0)),"")</f>
        <v/>
      </c>
      <c r="C21" s="5" t="str">
        <f aca="false">IFERROR(INDEX(Dependencies!$E$3:$E$502,MATCH($A21,Dependencies!$P$3:$P$502,0)),"")</f>
        <v/>
      </c>
      <c r="D21" s="5" t="str">
        <f aca="false">IFERROR(INDEX(Dependencies!$C$3:$C$502,MATCH($A21,Dependencies!$P$3:$P$502,0)),"")</f>
        <v/>
      </c>
      <c r="E21" s="5" t="str">
        <f aca="false">IFERROR(INDEX(Dependencies!$I$3:$I$502,MATCH($A21,Dependencies!$P$3:$P$502,0)),"")</f>
        <v/>
      </c>
      <c r="F21" s="5" t="str">
        <f aca="false">IFERROR(INDEX(Dependencies!$J$3:$J$502,MATCH($A21,Dependencies!$P$3:$P$502,0)),"")</f>
        <v/>
      </c>
      <c r="G21" s="5" t="str">
        <f aca="false">IFERROR(INDEX(Dependencies!$L$3:$L$502,MATCH($A21,Dependencies!$P$3:$P$502,0)),"")</f>
        <v/>
      </c>
      <c r="H21" s="5" t="str">
        <f aca="false">IFERROR(INDEX(Dependencies!$K$3:$K$502,MATCH($A21,Dependencies!$P$3:$P$502,0)),"")</f>
        <v/>
      </c>
    </row>
    <row r="22" customFormat="false" ht="15" hidden="false" customHeight="false" outlineLevel="0" collapsed="false">
      <c r="A22" s="5" t="n">
        <v>12</v>
      </c>
      <c r="B22" s="5" t="str">
        <f aca="false">IFERROR(INDEX(Dependencies!$D$3:$D$502,MATCH($A22,Dependencies!$P$3:$P$502,0)),"")</f>
        <v/>
      </c>
      <c r="C22" s="5" t="str">
        <f aca="false">IFERROR(INDEX(Dependencies!$E$3:$E$502,MATCH($A22,Dependencies!$P$3:$P$502,0)),"")</f>
        <v/>
      </c>
      <c r="D22" s="5" t="str">
        <f aca="false">IFERROR(INDEX(Dependencies!$C$3:$C$502,MATCH($A22,Dependencies!$P$3:$P$502,0)),"")</f>
        <v/>
      </c>
      <c r="E22" s="5" t="str">
        <f aca="false">IFERROR(INDEX(Dependencies!$I$3:$I$502,MATCH($A22,Dependencies!$P$3:$P$502,0)),"")</f>
        <v/>
      </c>
      <c r="F22" s="5" t="str">
        <f aca="false">IFERROR(INDEX(Dependencies!$J$3:$J$502,MATCH($A22,Dependencies!$P$3:$P$502,0)),"")</f>
        <v/>
      </c>
      <c r="G22" s="5" t="str">
        <f aca="false">IFERROR(INDEX(Dependencies!$L$3:$L$502,MATCH($A22,Dependencies!$P$3:$P$502,0)),"")</f>
        <v/>
      </c>
      <c r="H22" s="5" t="str">
        <f aca="false">IFERROR(INDEX(Dependencies!$K$3:$K$502,MATCH($A22,Dependencies!$P$3:$P$502,0)),"")</f>
        <v/>
      </c>
    </row>
    <row r="23" customFormat="false" ht="15" hidden="false" customHeight="false" outlineLevel="0" collapsed="false">
      <c r="A23" s="5" t="n">
        <v>13</v>
      </c>
      <c r="B23" s="5" t="str">
        <f aca="false">IFERROR(INDEX(Dependencies!$D$3:$D$502,MATCH($A23,Dependencies!$P$3:$P$502,0)),"")</f>
        <v/>
      </c>
      <c r="C23" s="5" t="str">
        <f aca="false">IFERROR(INDEX(Dependencies!$E$3:$E$502,MATCH($A23,Dependencies!$P$3:$P$502,0)),"")</f>
        <v/>
      </c>
      <c r="D23" s="5" t="str">
        <f aca="false">IFERROR(INDEX(Dependencies!$C$3:$C$502,MATCH($A23,Dependencies!$P$3:$P$502,0)),"")</f>
        <v/>
      </c>
      <c r="E23" s="5" t="str">
        <f aca="false">IFERROR(INDEX(Dependencies!$I$3:$I$502,MATCH($A23,Dependencies!$P$3:$P$502,0)),"")</f>
        <v/>
      </c>
      <c r="F23" s="5" t="str">
        <f aca="false">IFERROR(INDEX(Dependencies!$J$3:$J$502,MATCH($A23,Dependencies!$P$3:$P$502,0)),"")</f>
        <v/>
      </c>
      <c r="G23" s="5" t="str">
        <f aca="false">IFERROR(INDEX(Dependencies!$L$3:$L$502,MATCH($A23,Dependencies!$P$3:$P$502,0)),"")</f>
        <v/>
      </c>
      <c r="H23" s="5" t="str">
        <f aca="false">IFERROR(INDEX(Dependencies!$K$3:$K$502,MATCH($A23,Dependencies!$P$3:$P$502,0)),"")</f>
        <v/>
      </c>
    </row>
    <row r="24" customFormat="false" ht="15" hidden="false" customHeight="false" outlineLevel="0" collapsed="false">
      <c r="A24" s="5" t="n">
        <v>14</v>
      </c>
      <c r="B24" s="5" t="str">
        <f aca="false">IFERROR(INDEX(Dependencies!$D$3:$D$502,MATCH($A24,Dependencies!$P$3:$P$502,0)),"")</f>
        <v/>
      </c>
      <c r="C24" s="5" t="str">
        <f aca="false">IFERROR(INDEX(Dependencies!$E$3:$E$502,MATCH($A24,Dependencies!$P$3:$P$502,0)),"")</f>
        <v/>
      </c>
      <c r="D24" s="5" t="str">
        <f aca="false">IFERROR(INDEX(Dependencies!$C$3:$C$502,MATCH($A24,Dependencies!$P$3:$P$502,0)),"")</f>
        <v/>
      </c>
      <c r="E24" s="5" t="str">
        <f aca="false">IFERROR(INDEX(Dependencies!$I$3:$I$502,MATCH($A24,Dependencies!$P$3:$P$502,0)),"")</f>
        <v/>
      </c>
      <c r="F24" s="5" t="str">
        <f aca="false">IFERROR(INDEX(Dependencies!$J$3:$J$502,MATCH($A24,Dependencies!$P$3:$P$502,0)),"")</f>
        <v/>
      </c>
      <c r="G24" s="5" t="str">
        <f aca="false">IFERROR(INDEX(Dependencies!$L$3:$L$502,MATCH($A24,Dependencies!$P$3:$P$502,0)),"")</f>
        <v/>
      </c>
      <c r="H24" s="5" t="str">
        <f aca="false">IFERROR(INDEX(Dependencies!$K$3:$K$502,MATCH($A24,Dependencies!$P$3:$P$502,0)),"")</f>
        <v/>
      </c>
    </row>
    <row r="25" customFormat="false" ht="15" hidden="false" customHeight="false" outlineLevel="0" collapsed="false">
      <c r="A25" s="5" t="n">
        <v>15</v>
      </c>
      <c r="B25" s="5" t="str">
        <f aca="false">IFERROR(INDEX(Dependencies!$D$3:$D$502,MATCH($A25,Dependencies!$P$3:$P$502,0)),"")</f>
        <v/>
      </c>
      <c r="C25" s="5" t="str">
        <f aca="false">IFERROR(INDEX(Dependencies!$E$3:$E$502,MATCH($A25,Dependencies!$P$3:$P$502,0)),"")</f>
        <v/>
      </c>
      <c r="D25" s="5" t="str">
        <f aca="false">IFERROR(INDEX(Dependencies!$C$3:$C$502,MATCH($A25,Dependencies!$P$3:$P$502,0)),"")</f>
        <v/>
      </c>
      <c r="E25" s="5" t="str">
        <f aca="false">IFERROR(INDEX(Dependencies!$I$3:$I$502,MATCH($A25,Dependencies!$P$3:$P$502,0)),"")</f>
        <v/>
      </c>
      <c r="F25" s="5" t="str">
        <f aca="false">IFERROR(INDEX(Dependencies!$J$3:$J$502,MATCH($A25,Dependencies!$P$3:$P$502,0)),"")</f>
        <v/>
      </c>
      <c r="G25" s="5" t="str">
        <f aca="false">IFERROR(INDEX(Dependencies!$L$3:$L$502,MATCH($A25,Dependencies!$P$3:$P$502,0)),"")</f>
        <v/>
      </c>
      <c r="H25" s="5" t="str">
        <f aca="false">IFERROR(INDEX(Dependencies!$K$3:$K$502,MATCH($A25,Dependencies!$P$3:$P$502,0)),"")</f>
        <v/>
      </c>
    </row>
    <row r="26" customFormat="false" ht="15" hidden="false" customHeight="false" outlineLevel="0" collapsed="false">
      <c r="A26" s="5" t="n">
        <v>16</v>
      </c>
      <c r="B26" s="5" t="str">
        <f aca="false">IFERROR(INDEX(Dependencies!$D$3:$D$502,MATCH($A26,Dependencies!$P$3:$P$502,0)),"")</f>
        <v/>
      </c>
      <c r="C26" s="5" t="str">
        <f aca="false">IFERROR(INDEX(Dependencies!$E$3:$E$502,MATCH($A26,Dependencies!$P$3:$P$502,0)),"")</f>
        <v/>
      </c>
      <c r="D26" s="5" t="str">
        <f aca="false">IFERROR(INDEX(Dependencies!$C$3:$C$502,MATCH($A26,Dependencies!$P$3:$P$502,0)),"")</f>
        <v/>
      </c>
      <c r="E26" s="5" t="str">
        <f aca="false">IFERROR(INDEX(Dependencies!$I$3:$I$502,MATCH($A26,Dependencies!$P$3:$P$502,0)),"")</f>
        <v/>
      </c>
      <c r="F26" s="5" t="str">
        <f aca="false">IFERROR(INDEX(Dependencies!$J$3:$J$502,MATCH($A26,Dependencies!$P$3:$P$502,0)),"")</f>
        <v/>
      </c>
      <c r="G26" s="5" t="str">
        <f aca="false">IFERROR(INDEX(Dependencies!$L$3:$L$502,MATCH($A26,Dependencies!$P$3:$P$502,0)),"")</f>
        <v/>
      </c>
      <c r="H26" s="5" t="str">
        <f aca="false">IFERROR(INDEX(Dependencies!$K$3:$K$502,MATCH($A26,Dependencies!$P$3:$P$502,0)),"")</f>
        <v/>
      </c>
    </row>
    <row r="27" customFormat="false" ht="15" hidden="false" customHeight="false" outlineLevel="0" collapsed="false">
      <c r="A27" s="5" t="n">
        <v>17</v>
      </c>
      <c r="B27" s="5" t="str">
        <f aca="false">IFERROR(INDEX(Dependencies!$D$3:$D$502,MATCH($A27,Dependencies!$P$3:$P$502,0)),"")</f>
        <v/>
      </c>
      <c r="C27" s="5" t="str">
        <f aca="false">IFERROR(INDEX(Dependencies!$E$3:$E$502,MATCH($A27,Dependencies!$P$3:$P$502,0)),"")</f>
        <v/>
      </c>
      <c r="D27" s="5" t="str">
        <f aca="false">IFERROR(INDEX(Dependencies!$C$3:$C$502,MATCH($A27,Dependencies!$P$3:$P$502,0)),"")</f>
        <v/>
      </c>
      <c r="E27" s="5" t="str">
        <f aca="false">IFERROR(INDEX(Dependencies!$I$3:$I$502,MATCH($A27,Dependencies!$P$3:$P$502,0)),"")</f>
        <v/>
      </c>
      <c r="F27" s="5" t="str">
        <f aca="false">IFERROR(INDEX(Dependencies!$J$3:$J$502,MATCH($A27,Dependencies!$P$3:$P$502,0)),"")</f>
        <v/>
      </c>
      <c r="G27" s="5" t="str">
        <f aca="false">IFERROR(INDEX(Dependencies!$L$3:$L$502,MATCH($A27,Dependencies!$P$3:$P$502,0)),"")</f>
        <v/>
      </c>
      <c r="H27" s="5" t="str">
        <f aca="false">IFERROR(INDEX(Dependencies!$K$3:$K$502,MATCH($A27,Dependencies!$P$3:$P$502,0)),"")</f>
        <v/>
      </c>
    </row>
    <row r="28" customFormat="false" ht="15" hidden="false" customHeight="false" outlineLevel="0" collapsed="false">
      <c r="A28" s="5" t="n">
        <v>18</v>
      </c>
      <c r="B28" s="5" t="str">
        <f aca="false">IFERROR(INDEX(Dependencies!$D$3:$D$502,MATCH($A28,Dependencies!$P$3:$P$502,0)),"")</f>
        <v/>
      </c>
      <c r="C28" s="5" t="str">
        <f aca="false">IFERROR(INDEX(Dependencies!$E$3:$E$502,MATCH($A28,Dependencies!$P$3:$P$502,0)),"")</f>
        <v/>
      </c>
      <c r="D28" s="5" t="str">
        <f aca="false">IFERROR(INDEX(Dependencies!$C$3:$C$502,MATCH($A28,Dependencies!$P$3:$P$502,0)),"")</f>
        <v/>
      </c>
      <c r="E28" s="5" t="str">
        <f aca="false">IFERROR(INDEX(Dependencies!$I$3:$I$502,MATCH($A28,Dependencies!$P$3:$P$502,0)),"")</f>
        <v/>
      </c>
      <c r="F28" s="5" t="str">
        <f aca="false">IFERROR(INDEX(Dependencies!$J$3:$J$502,MATCH($A28,Dependencies!$P$3:$P$502,0)),"")</f>
        <v/>
      </c>
      <c r="G28" s="5" t="str">
        <f aca="false">IFERROR(INDEX(Dependencies!$L$3:$L$502,MATCH($A28,Dependencies!$P$3:$P$502,0)),"")</f>
        <v/>
      </c>
      <c r="H28" s="5" t="str">
        <f aca="false">IFERROR(INDEX(Dependencies!$K$3:$K$502,MATCH($A28,Dependencies!$P$3:$P$502,0)),"")</f>
        <v/>
      </c>
    </row>
    <row r="29" customFormat="false" ht="15" hidden="false" customHeight="false" outlineLevel="0" collapsed="false">
      <c r="A29" s="5" t="n">
        <v>19</v>
      </c>
      <c r="B29" s="5" t="str">
        <f aca="false">IFERROR(INDEX(Dependencies!$D$3:$D$502,MATCH($A29,Dependencies!$P$3:$P$502,0)),"")</f>
        <v/>
      </c>
      <c r="C29" s="5" t="str">
        <f aca="false">IFERROR(INDEX(Dependencies!$E$3:$E$502,MATCH($A29,Dependencies!$P$3:$P$502,0)),"")</f>
        <v/>
      </c>
      <c r="D29" s="5" t="str">
        <f aca="false">IFERROR(INDEX(Dependencies!$C$3:$C$502,MATCH($A29,Dependencies!$P$3:$P$502,0)),"")</f>
        <v/>
      </c>
      <c r="E29" s="5" t="str">
        <f aca="false">IFERROR(INDEX(Dependencies!$I$3:$I$502,MATCH($A29,Dependencies!$P$3:$P$502,0)),"")</f>
        <v/>
      </c>
      <c r="F29" s="5" t="str">
        <f aca="false">IFERROR(INDEX(Dependencies!$J$3:$J$502,MATCH($A29,Dependencies!$P$3:$P$502,0)),"")</f>
        <v/>
      </c>
      <c r="G29" s="5" t="str">
        <f aca="false">IFERROR(INDEX(Dependencies!$L$3:$L$502,MATCH($A29,Dependencies!$P$3:$P$502,0)),"")</f>
        <v/>
      </c>
      <c r="H29" s="5" t="str">
        <f aca="false">IFERROR(INDEX(Dependencies!$K$3:$K$502,MATCH($A29,Dependencies!$P$3:$P$502,0)),"")</f>
        <v/>
      </c>
    </row>
    <row r="30" customFormat="false" ht="15" hidden="false" customHeight="false" outlineLevel="0" collapsed="false">
      <c r="A30" s="5" t="n">
        <v>20</v>
      </c>
      <c r="B30" s="5" t="str">
        <f aca="false">IFERROR(INDEX(Dependencies!$D$3:$D$502,MATCH($A30,Dependencies!$P$3:$P$502,0)),"")</f>
        <v/>
      </c>
      <c r="C30" s="5" t="str">
        <f aca="false">IFERROR(INDEX(Dependencies!$E$3:$E$502,MATCH($A30,Dependencies!$P$3:$P$502,0)),"")</f>
        <v/>
      </c>
      <c r="D30" s="5" t="str">
        <f aca="false">IFERROR(INDEX(Dependencies!$C$3:$C$502,MATCH($A30,Dependencies!$P$3:$P$502,0)),"")</f>
        <v/>
      </c>
      <c r="E30" s="5" t="str">
        <f aca="false">IFERROR(INDEX(Dependencies!$I$3:$I$502,MATCH($A30,Dependencies!$P$3:$P$502,0)),"")</f>
        <v/>
      </c>
      <c r="F30" s="5" t="str">
        <f aca="false">IFERROR(INDEX(Dependencies!$J$3:$J$502,MATCH($A30,Dependencies!$P$3:$P$502,0)),"")</f>
        <v/>
      </c>
      <c r="G30" s="5" t="str">
        <f aca="false">IFERROR(INDEX(Dependencies!$L$3:$L$502,MATCH($A30,Dependencies!$P$3:$P$502,0)),"")</f>
        <v/>
      </c>
      <c r="H30" s="5" t="str">
        <f aca="false">IFERROR(INDEX(Dependencies!$K$3:$K$502,MATCH($A30,Dependencies!$P$3:$P$502,0)),"")</f>
        <v/>
      </c>
    </row>
    <row r="31" customFormat="false" ht="15" hidden="false" customHeight="false" outlineLevel="0" collapsed="false">
      <c r="A31" s="5" t="n">
        <v>21</v>
      </c>
      <c r="B31" s="5" t="str">
        <f aca="false">IFERROR(INDEX(Dependencies!$D$3:$D$502,MATCH($A31,Dependencies!$P$3:$P$502,0)),"")</f>
        <v/>
      </c>
      <c r="C31" s="5" t="str">
        <f aca="false">IFERROR(INDEX(Dependencies!$E$3:$E$502,MATCH($A31,Dependencies!$P$3:$P$502,0)),"")</f>
        <v/>
      </c>
      <c r="D31" s="5" t="str">
        <f aca="false">IFERROR(INDEX(Dependencies!$C$3:$C$502,MATCH($A31,Dependencies!$P$3:$P$502,0)),"")</f>
        <v/>
      </c>
      <c r="E31" s="5" t="str">
        <f aca="false">IFERROR(INDEX(Dependencies!$I$3:$I$502,MATCH($A31,Dependencies!$P$3:$P$502,0)),"")</f>
        <v/>
      </c>
      <c r="F31" s="5" t="str">
        <f aca="false">IFERROR(INDEX(Dependencies!$J$3:$J$502,MATCH($A31,Dependencies!$P$3:$P$502,0)),"")</f>
        <v/>
      </c>
      <c r="G31" s="5" t="str">
        <f aca="false">IFERROR(INDEX(Dependencies!$L$3:$L$502,MATCH($A31,Dependencies!$P$3:$P$502,0)),"")</f>
        <v/>
      </c>
      <c r="H31" s="5" t="str">
        <f aca="false">IFERROR(INDEX(Dependencies!$K$3:$K$502,MATCH($A31,Dependencies!$P$3:$P$502,0)),"")</f>
        <v/>
      </c>
    </row>
    <row r="32" customFormat="false" ht="15" hidden="false" customHeight="false" outlineLevel="0" collapsed="false">
      <c r="A32" s="5" t="n">
        <v>22</v>
      </c>
      <c r="B32" s="5" t="str">
        <f aca="false">IFERROR(INDEX(Dependencies!$D$3:$D$502,MATCH($A32,Dependencies!$P$3:$P$502,0)),"")</f>
        <v/>
      </c>
      <c r="C32" s="5" t="str">
        <f aca="false">IFERROR(INDEX(Dependencies!$E$3:$E$502,MATCH($A32,Dependencies!$P$3:$P$502,0)),"")</f>
        <v/>
      </c>
      <c r="D32" s="5" t="str">
        <f aca="false">IFERROR(INDEX(Dependencies!$C$3:$C$502,MATCH($A32,Dependencies!$P$3:$P$502,0)),"")</f>
        <v/>
      </c>
      <c r="E32" s="5" t="str">
        <f aca="false">IFERROR(INDEX(Dependencies!$I$3:$I$502,MATCH($A32,Dependencies!$P$3:$P$502,0)),"")</f>
        <v/>
      </c>
      <c r="F32" s="5" t="str">
        <f aca="false">IFERROR(INDEX(Dependencies!$J$3:$J$502,MATCH($A32,Dependencies!$P$3:$P$502,0)),"")</f>
        <v/>
      </c>
      <c r="G32" s="5" t="str">
        <f aca="false">IFERROR(INDEX(Dependencies!$L$3:$L$502,MATCH($A32,Dependencies!$P$3:$P$502,0)),"")</f>
        <v/>
      </c>
      <c r="H32" s="5" t="str">
        <f aca="false">IFERROR(INDEX(Dependencies!$K$3:$K$502,MATCH($A32,Dependencies!$P$3:$P$502,0)),"")</f>
        <v/>
      </c>
    </row>
    <row r="33" customFormat="false" ht="15" hidden="false" customHeight="false" outlineLevel="0" collapsed="false">
      <c r="A33" s="5" t="n">
        <v>23</v>
      </c>
      <c r="B33" s="5" t="str">
        <f aca="false">IFERROR(INDEX(Dependencies!$D$3:$D$502,MATCH($A33,Dependencies!$P$3:$P$502,0)),"")</f>
        <v/>
      </c>
      <c r="C33" s="5" t="str">
        <f aca="false">IFERROR(INDEX(Dependencies!$E$3:$E$502,MATCH($A33,Dependencies!$P$3:$P$502,0)),"")</f>
        <v/>
      </c>
      <c r="D33" s="5" t="str">
        <f aca="false">IFERROR(INDEX(Dependencies!$C$3:$C$502,MATCH($A33,Dependencies!$P$3:$P$502,0)),"")</f>
        <v/>
      </c>
      <c r="E33" s="5" t="str">
        <f aca="false">IFERROR(INDEX(Dependencies!$I$3:$I$502,MATCH($A33,Dependencies!$P$3:$P$502,0)),"")</f>
        <v/>
      </c>
      <c r="F33" s="5" t="str">
        <f aca="false">IFERROR(INDEX(Dependencies!$J$3:$J$502,MATCH($A33,Dependencies!$P$3:$P$502,0)),"")</f>
        <v/>
      </c>
      <c r="G33" s="5" t="str">
        <f aca="false">IFERROR(INDEX(Dependencies!$L$3:$L$502,MATCH($A33,Dependencies!$P$3:$P$502,0)),"")</f>
        <v/>
      </c>
      <c r="H33" s="5" t="str">
        <f aca="false">IFERROR(INDEX(Dependencies!$K$3:$K$502,MATCH($A33,Dependencies!$P$3:$P$502,0)),"")</f>
        <v/>
      </c>
    </row>
    <row r="34" customFormat="false" ht="15" hidden="false" customHeight="false" outlineLevel="0" collapsed="false">
      <c r="A34" s="5" t="n">
        <v>24</v>
      </c>
      <c r="B34" s="5" t="str">
        <f aca="false">IFERROR(INDEX(Dependencies!$D$3:$D$502,MATCH($A34,Dependencies!$P$3:$P$502,0)),"")</f>
        <v/>
      </c>
      <c r="C34" s="5" t="str">
        <f aca="false">IFERROR(INDEX(Dependencies!$E$3:$E$502,MATCH($A34,Dependencies!$P$3:$P$502,0)),"")</f>
        <v/>
      </c>
      <c r="D34" s="5" t="str">
        <f aca="false">IFERROR(INDEX(Dependencies!$C$3:$C$502,MATCH($A34,Dependencies!$P$3:$P$502,0)),"")</f>
        <v/>
      </c>
      <c r="E34" s="5" t="str">
        <f aca="false">IFERROR(INDEX(Dependencies!$I$3:$I$502,MATCH($A34,Dependencies!$P$3:$P$502,0)),"")</f>
        <v/>
      </c>
      <c r="F34" s="5" t="str">
        <f aca="false">IFERROR(INDEX(Dependencies!$J$3:$J$502,MATCH($A34,Dependencies!$P$3:$P$502,0)),"")</f>
        <v/>
      </c>
      <c r="G34" s="5" t="str">
        <f aca="false">IFERROR(INDEX(Dependencies!$L$3:$L$502,MATCH($A34,Dependencies!$P$3:$P$502,0)),"")</f>
        <v/>
      </c>
      <c r="H34" s="5" t="str">
        <f aca="false">IFERROR(INDEX(Dependencies!$K$3:$K$502,MATCH($A34,Dependencies!$P$3:$P$502,0)),"")</f>
        <v/>
      </c>
    </row>
    <row r="35" customFormat="false" ht="15" hidden="false" customHeight="false" outlineLevel="0" collapsed="false">
      <c r="A35" s="5" t="n">
        <v>25</v>
      </c>
      <c r="B35" s="5" t="str">
        <f aca="false">IFERROR(INDEX(Dependencies!$D$3:$D$502,MATCH($A35,Dependencies!$P$3:$P$502,0)),"")</f>
        <v/>
      </c>
      <c r="C35" s="5" t="str">
        <f aca="false">IFERROR(INDEX(Dependencies!$E$3:$E$502,MATCH($A35,Dependencies!$P$3:$P$502,0)),"")</f>
        <v/>
      </c>
      <c r="D35" s="5" t="str">
        <f aca="false">IFERROR(INDEX(Dependencies!$C$3:$C$502,MATCH($A35,Dependencies!$P$3:$P$502,0)),"")</f>
        <v/>
      </c>
      <c r="E35" s="5" t="str">
        <f aca="false">IFERROR(INDEX(Dependencies!$I$3:$I$502,MATCH($A35,Dependencies!$P$3:$P$502,0)),"")</f>
        <v/>
      </c>
      <c r="F35" s="5" t="str">
        <f aca="false">IFERROR(INDEX(Dependencies!$J$3:$J$502,MATCH($A35,Dependencies!$P$3:$P$502,0)),"")</f>
        <v/>
      </c>
      <c r="G35" s="5" t="str">
        <f aca="false">IFERROR(INDEX(Dependencies!$L$3:$L$502,MATCH($A35,Dependencies!$P$3:$P$502,0)),"")</f>
        <v/>
      </c>
      <c r="H35" s="5" t="str">
        <f aca="false">IFERROR(INDEX(Dependencies!$K$3:$K$502,MATCH($A35,Dependencies!$P$3:$P$502,0)),"")</f>
        <v/>
      </c>
    </row>
    <row r="37" customFormat="false" ht="15" hidden="false" customHeight="false" outlineLevel="0" collapsed="false">
      <c r="A37" s="26" t="s">
        <v>620</v>
      </c>
      <c r="B37" s="27"/>
      <c r="C37" s="27"/>
      <c r="D37" s="27"/>
      <c r="E37" s="27"/>
      <c r="F37" s="27"/>
      <c r="G37" s="27"/>
      <c r="H37" s="27"/>
    </row>
    <row r="38" customFormat="false" ht="15" hidden="false" customHeight="false" outlineLevel="0" collapsed="false">
      <c r="A38" s="13" t="s">
        <v>617</v>
      </c>
      <c r="B38" s="13" t="s">
        <v>621</v>
      </c>
      <c r="C38" s="13" t="s">
        <v>580</v>
      </c>
      <c r="D38" s="13" t="s">
        <v>619</v>
      </c>
      <c r="E38" s="13" t="s">
        <v>584</v>
      </c>
      <c r="F38" s="13" t="s">
        <v>227</v>
      </c>
      <c r="G38" s="13" t="s">
        <v>166</v>
      </c>
      <c r="H38" s="13" t="s">
        <v>585</v>
      </c>
    </row>
    <row r="39" customFormat="false" ht="15" hidden="false" customHeight="false" outlineLevel="0" collapsed="false">
      <c r="A39" s="5" t="n">
        <v>1</v>
      </c>
      <c r="B39" s="5" t="str">
        <f aca="false">IFERROR(INDEX(Dependencies!$H$3:$H$502,MATCH($A39,Dependencies!$Q$3:$Q$502,0)),"")</f>
        <v/>
      </c>
      <c r="C39" s="5" t="str">
        <f aca="false">IFERROR(INDEX(Dependencies!$E$3:$E$502,MATCH($A39,Dependencies!$Q$3:$Q$502,0)),"")</f>
        <v/>
      </c>
      <c r="D39" s="5" t="str">
        <f aca="false">IFERROR(INDEX(Dependencies!$G$3:$G$502,MATCH($A39,Dependencies!$Q$3:$Q$502,0)),"")</f>
        <v/>
      </c>
      <c r="E39" s="5" t="str">
        <f aca="false">IFERROR(INDEX(Dependencies!$I$3:$I$502,MATCH($A39,Dependencies!$Q$3:$Q$502,0)),"")</f>
        <v/>
      </c>
      <c r="F39" s="5" t="str">
        <f aca="false">IFERROR(INDEX(Dependencies!$J$3:$J$502,MATCH($A39,Dependencies!$Q$3:$Q$502,0)),"")</f>
        <v/>
      </c>
      <c r="G39" s="5" t="str">
        <f aca="false">IFERROR(INDEX(Dependencies!$L$3:$L$502,MATCH($A39,Dependencies!$Q$3:$Q$502,0)),"")</f>
        <v/>
      </c>
      <c r="H39" s="5" t="str">
        <f aca="false">IFERROR(INDEX(Dependencies!$K$3:$K$502,MATCH($A39,Dependencies!$Q$3:$Q$502,0)),"")</f>
        <v/>
      </c>
    </row>
    <row r="40" customFormat="false" ht="15" hidden="false" customHeight="false" outlineLevel="0" collapsed="false">
      <c r="A40" s="5" t="n">
        <v>2</v>
      </c>
      <c r="B40" s="5" t="str">
        <f aca="false">IFERROR(INDEX(Dependencies!$H$3:$H$502,MATCH($A40,Dependencies!$Q$3:$Q$502,0)),"")</f>
        <v/>
      </c>
      <c r="C40" s="5" t="str">
        <f aca="false">IFERROR(INDEX(Dependencies!$E$3:$E$502,MATCH($A40,Dependencies!$Q$3:$Q$502,0)),"")</f>
        <v/>
      </c>
      <c r="D40" s="5" t="str">
        <f aca="false">IFERROR(INDEX(Dependencies!$G$3:$G$502,MATCH($A40,Dependencies!$Q$3:$Q$502,0)),"")</f>
        <v/>
      </c>
      <c r="E40" s="5" t="str">
        <f aca="false">IFERROR(INDEX(Dependencies!$I$3:$I$502,MATCH($A40,Dependencies!$Q$3:$Q$502,0)),"")</f>
        <v/>
      </c>
      <c r="F40" s="5" t="str">
        <f aca="false">IFERROR(INDEX(Dependencies!$J$3:$J$502,MATCH($A40,Dependencies!$Q$3:$Q$502,0)),"")</f>
        <v/>
      </c>
      <c r="G40" s="5" t="str">
        <f aca="false">IFERROR(INDEX(Dependencies!$L$3:$L$502,MATCH($A40,Dependencies!$Q$3:$Q$502,0)),"")</f>
        <v/>
      </c>
      <c r="H40" s="5" t="str">
        <f aca="false">IFERROR(INDEX(Dependencies!$K$3:$K$502,MATCH($A40,Dependencies!$Q$3:$Q$502,0)),"")</f>
        <v/>
      </c>
    </row>
    <row r="41" customFormat="false" ht="15" hidden="false" customHeight="false" outlineLevel="0" collapsed="false">
      <c r="A41" s="5" t="n">
        <v>3</v>
      </c>
      <c r="B41" s="5" t="str">
        <f aca="false">IFERROR(INDEX(Dependencies!$H$3:$H$502,MATCH($A41,Dependencies!$Q$3:$Q$502,0)),"")</f>
        <v/>
      </c>
      <c r="C41" s="5" t="str">
        <f aca="false">IFERROR(INDEX(Dependencies!$E$3:$E$502,MATCH($A41,Dependencies!$Q$3:$Q$502,0)),"")</f>
        <v/>
      </c>
      <c r="D41" s="5" t="str">
        <f aca="false">IFERROR(INDEX(Dependencies!$G$3:$G$502,MATCH($A41,Dependencies!$Q$3:$Q$502,0)),"")</f>
        <v/>
      </c>
      <c r="E41" s="5" t="str">
        <f aca="false">IFERROR(INDEX(Dependencies!$I$3:$I$502,MATCH($A41,Dependencies!$Q$3:$Q$502,0)),"")</f>
        <v/>
      </c>
      <c r="F41" s="5" t="str">
        <f aca="false">IFERROR(INDEX(Dependencies!$J$3:$J$502,MATCH($A41,Dependencies!$Q$3:$Q$502,0)),"")</f>
        <v/>
      </c>
      <c r="G41" s="5" t="str">
        <f aca="false">IFERROR(INDEX(Dependencies!$L$3:$L$502,MATCH($A41,Dependencies!$Q$3:$Q$502,0)),"")</f>
        <v/>
      </c>
      <c r="H41" s="5" t="str">
        <f aca="false">IFERROR(INDEX(Dependencies!$K$3:$K$502,MATCH($A41,Dependencies!$Q$3:$Q$502,0)),"")</f>
        <v/>
      </c>
    </row>
    <row r="42" customFormat="false" ht="15" hidden="false" customHeight="false" outlineLevel="0" collapsed="false">
      <c r="A42" s="5" t="n">
        <v>4</v>
      </c>
      <c r="B42" s="5" t="str">
        <f aca="false">IFERROR(INDEX(Dependencies!$H$3:$H$502,MATCH($A42,Dependencies!$Q$3:$Q$502,0)),"")</f>
        <v/>
      </c>
      <c r="C42" s="5" t="str">
        <f aca="false">IFERROR(INDEX(Dependencies!$E$3:$E$502,MATCH($A42,Dependencies!$Q$3:$Q$502,0)),"")</f>
        <v/>
      </c>
      <c r="D42" s="5" t="str">
        <f aca="false">IFERROR(INDEX(Dependencies!$G$3:$G$502,MATCH($A42,Dependencies!$Q$3:$Q$502,0)),"")</f>
        <v/>
      </c>
      <c r="E42" s="5" t="str">
        <f aca="false">IFERROR(INDEX(Dependencies!$I$3:$I$502,MATCH($A42,Dependencies!$Q$3:$Q$502,0)),"")</f>
        <v/>
      </c>
      <c r="F42" s="5" t="str">
        <f aca="false">IFERROR(INDEX(Dependencies!$J$3:$J$502,MATCH($A42,Dependencies!$Q$3:$Q$502,0)),"")</f>
        <v/>
      </c>
      <c r="G42" s="5" t="str">
        <f aca="false">IFERROR(INDEX(Dependencies!$L$3:$L$502,MATCH($A42,Dependencies!$Q$3:$Q$502,0)),"")</f>
        <v/>
      </c>
      <c r="H42" s="5" t="str">
        <f aca="false">IFERROR(INDEX(Dependencies!$K$3:$K$502,MATCH($A42,Dependencies!$Q$3:$Q$502,0)),"")</f>
        <v/>
      </c>
    </row>
    <row r="43" customFormat="false" ht="15" hidden="false" customHeight="false" outlineLevel="0" collapsed="false">
      <c r="A43" s="5" t="n">
        <v>5</v>
      </c>
      <c r="B43" s="5" t="str">
        <f aca="false">IFERROR(INDEX(Dependencies!$H$3:$H$502,MATCH($A43,Dependencies!$Q$3:$Q$502,0)),"")</f>
        <v/>
      </c>
      <c r="C43" s="5" t="str">
        <f aca="false">IFERROR(INDEX(Dependencies!$E$3:$E$502,MATCH($A43,Dependencies!$Q$3:$Q$502,0)),"")</f>
        <v/>
      </c>
      <c r="D43" s="5" t="str">
        <f aca="false">IFERROR(INDEX(Dependencies!$G$3:$G$502,MATCH($A43,Dependencies!$Q$3:$Q$502,0)),"")</f>
        <v/>
      </c>
      <c r="E43" s="5" t="str">
        <f aca="false">IFERROR(INDEX(Dependencies!$I$3:$I$502,MATCH($A43,Dependencies!$Q$3:$Q$502,0)),"")</f>
        <v/>
      </c>
      <c r="F43" s="5" t="str">
        <f aca="false">IFERROR(INDEX(Dependencies!$J$3:$J$502,MATCH($A43,Dependencies!$Q$3:$Q$502,0)),"")</f>
        <v/>
      </c>
      <c r="G43" s="5" t="str">
        <f aca="false">IFERROR(INDEX(Dependencies!$L$3:$L$502,MATCH($A43,Dependencies!$Q$3:$Q$502,0)),"")</f>
        <v/>
      </c>
      <c r="H43" s="5" t="str">
        <f aca="false">IFERROR(INDEX(Dependencies!$K$3:$K$502,MATCH($A43,Dependencies!$Q$3:$Q$502,0)),"")</f>
        <v/>
      </c>
    </row>
    <row r="44" customFormat="false" ht="15" hidden="false" customHeight="false" outlineLevel="0" collapsed="false">
      <c r="A44" s="5" t="n">
        <v>6</v>
      </c>
      <c r="B44" s="5" t="str">
        <f aca="false">IFERROR(INDEX(Dependencies!$H$3:$H$502,MATCH($A44,Dependencies!$Q$3:$Q$502,0)),"")</f>
        <v/>
      </c>
      <c r="C44" s="5" t="str">
        <f aca="false">IFERROR(INDEX(Dependencies!$E$3:$E$502,MATCH($A44,Dependencies!$Q$3:$Q$502,0)),"")</f>
        <v/>
      </c>
      <c r="D44" s="5" t="str">
        <f aca="false">IFERROR(INDEX(Dependencies!$G$3:$G$502,MATCH($A44,Dependencies!$Q$3:$Q$502,0)),"")</f>
        <v/>
      </c>
      <c r="E44" s="5" t="str">
        <f aca="false">IFERROR(INDEX(Dependencies!$I$3:$I$502,MATCH($A44,Dependencies!$Q$3:$Q$502,0)),"")</f>
        <v/>
      </c>
      <c r="F44" s="5" t="str">
        <f aca="false">IFERROR(INDEX(Dependencies!$J$3:$J$502,MATCH($A44,Dependencies!$Q$3:$Q$502,0)),"")</f>
        <v/>
      </c>
      <c r="G44" s="5" t="str">
        <f aca="false">IFERROR(INDEX(Dependencies!$L$3:$L$502,MATCH($A44,Dependencies!$Q$3:$Q$502,0)),"")</f>
        <v/>
      </c>
      <c r="H44" s="5" t="str">
        <f aca="false">IFERROR(INDEX(Dependencies!$K$3:$K$502,MATCH($A44,Dependencies!$Q$3:$Q$502,0)),"")</f>
        <v/>
      </c>
    </row>
    <row r="45" customFormat="false" ht="15" hidden="false" customHeight="false" outlineLevel="0" collapsed="false">
      <c r="A45" s="5" t="n">
        <v>7</v>
      </c>
      <c r="B45" s="5" t="str">
        <f aca="false">IFERROR(INDEX(Dependencies!$H$3:$H$502,MATCH($A45,Dependencies!$Q$3:$Q$502,0)),"")</f>
        <v/>
      </c>
      <c r="C45" s="5" t="str">
        <f aca="false">IFERROR(INDEX(Dependencies!$E$3:$E$502,MATCH($A45,Dependencies!$Q$3:$Q$502,0)),"")</f>
        <v/>
      </c>
      <c r="D45" s="5" t="str">
        <f aca="false">IFERROR(INDEX(Dependencies!$G$3:$G$502,MATCH($A45,Dependencies!$Q$3:$Q$502,0)),"")</f>
        <v/>
      </c>
      <c r="E45" s="5" t="str">
        <f aca="false">IFERROR(INDEX(Dependencies!$I$3:$I$502,MATCH($A45,Dependencies!$Q$3:$Q$502,0)),"")</f>
        <v/>
      </c>
      <c r="F45" s="5" t="str">
        <f aca="false">IFERROR(INDEX(Dependencies!$J$3:$J$502,MATCH($A45,Dependencies!$Q$3:$Q$502,0)),"")</f>
        <v/>
      </c>
      <c r="G45" s="5" t="str">
        <f aca="false">IFERROR(INDEX(Dependencies!$L$3:$L$502,MATCH($A45,Dependencies!$Q$3:$Q$502,0)),"")</f>
        <v/>
      </c>
      <c r="H45" s="5" t="str">
        <f aca="false">IFERROR(INDEX(Dependencies!$K$3:$K$502,MATCH($A45,Dependencies!$Q$3:$Q$502,0)),"")</f>
        <v/>
      </c>
    </row>
    <row r="46" customFormat="false" ht="15" hidden="false" customHeight="false" outlineLevel="0" collapsed="false">
      <c r="A46" s="5" t="n">
        <v>8</v>
      </c>
      <c r="B46" s="5" t="str">
        <f aca="false">IFERROR(INDEX(Dependencies!$H$3:$H$502,MATCH($A46,Dependencies!$Q$3:$Q$502,0)),"")</f>
        <v/>
      </c>
      <c r="C46" s="5" t="str">
        <f aca="false">IFERROR(INDEX(Dependencies!$E$3:$E$502,MATCH($A46,Dependencies!$Q$3:$Q$502,0)),"")</f>
        <v/>
      </c>
      <c r="D46" s="5" t="str">
        <f aca="false">IFERROR(INDEX(Dependencies!$G$3:$G$502,MATCH($A46,Dependencies!$Q$3:$Q$502,0)),"")</f>
        <v/>
      </c>
      <c r="E46" s="5" t="str">
        <f aca="false">IFERROR(INDEX(Dependencies!$I$3:$I$502,MATCH($A46,Dependencies!$Q$3:$Q$502,0)),"")</f>
        <v/>
      </c>
      <c r="F46" s="5" t="str">
        <f aca="false">IFERROR(INDEX(Dependencies!$J$3:$J$502,MATCH($A46,Dependencies!$Q$3:$Q$502,0)),"")</f>
        <v/>
      </c>
      <c r="G46" s="5" t="str">
        <f aca="false">IFERROR(INDEX(Dependencies!$L$3:$L$502,MATCH($A46,Dependencies!$Q$3:$Q$502,0)),"")</f>
        <v/>
      </c>
      <c r="H46" s="5" t="str">
        <f aca="false">IFERROR(INDEX(Dependencies!$K$3:$K$502,MATCH($A46,Dependencies!$Q$3:$Q$502,0)),"")</f>
        <v/>
      </c>
    </row>
    <row r="47" customFormat="false" ht="15" hidden="false" customHeight="false" outlineLevel="0" collapsed="false">
      <c r="A47" s="5" t="n">
        <v>9</v>
      </c>
      <c r="B47" s="5" t="str">
        <f aca="false">IFERROR(INDEX(Dependencies!$H$3:$H$502,MATCH($A47,Dependencies!$Q$3:$Q$502,0)),"")</f>
        <v/>
      </c>
      <c r="C47" s="5" t="str">
        <f aca="false">IFERROR(INDEX(Dependencies!$E$3:$E$502,MATCH($A47,Dependencies!$Q$3:$Q$502,0)),"")</f>
        <v/>
      </c>
      <c r="D47" s="5" t="str">
        <f aca="false">IFERROR(INDEX(Dependencies!$G$3:$G$502,MATCH($A47,Dependencies!$Q$3:$Q$502,0)),"")</f>
        <v/>
      </c>
      <c r="E47" s="5" t="str">
        <f aca="false">IFERROR(INDEX(Dependencies!$I$3:$I$502,MATCH($A47,Dependencies!$Q$3:$Q$502,0)),"")</f>
        <v/>
      </c>
      <c r="F47" s="5" t="str">
        <f aca="false">IFERROR(INDEX(Dependencies!$J$3:$J$502,MATCH($A47,Dependencies!$Q$3:$Q$502,0)),"")</f>
        <v/>
      </c>
      <c r="G47" s="5" t="str">
        <f aca="false">IFERROR(INDEX(Dependencies!$L$3:$L$502,MATCH($A47,Dependencies!$Q$3:$Q$502,0)),"")</f>
        <v/>
      </c>
      <c r="H47" s="5" t="str">
        <f aca="false">IFERROR(INDEX(Dependencies!$K$3:$K$502,MATCH($A47,Dependencies!$Q$3:$Q$502,0)),"")</f>
        <v/>
      </c>
    </row>
    <row r="48" customFormat="false" ht="15" hidden="false" customHeight="false" outlineLevel="0" collapsed="false">
      <c r="A48" s="5" t="n">
        <v>10</v>
      </c>
      <c r="B48" s="5" t="str">
        <f aca="false">IFERROR(INDEX(Dependencies!$H$3:$H$502,MATCH($A48,Dependencies!$Q$3:$Q$502,0)),"")</f>
        <v/>
      </c>
      <c r="C48" s="5" t="str">
        <f aca="false">IFERROR(INDEX(Dependencies!$E$3:$E$502,MATCH($A48,Dependencies!$Q$3:$Q$502,0)),"")</f>
        <v/>
      </c>
      <c r="D48" s="5" t="str">
        <f aca="false">IFERROR(INDEX(Dependencies!$G$3:$G$502,MATCH($A48,Dependencies!$Q$3:$Q$502,0)),"")</f>
        <v/>
      </c>
      <c r="E48" s="5" t="str">
        <f aca="false">IFERROR(INDEX(Dependencies!$I$3:$I$502,MATCH($A48,Dependencies!$Q$3:$Q$502,0)),"")</f>
        <v/>
      </c>
      <c r="F48" s="5" t="str">
        <f aca="false">IFERROR(INDEX(Dependencies!$J$3:$J$502,MATCH($A48,Dependencies!$Q$3:$Q$502,0)),"")</f>
        <v/>
      </c>
      <c r="G48" s="5" t="str">
        <f aca="false">IFERROR(INDEX(Dependencies!$L$3:$L$502,MATCH($A48,Dependencies!$Q$3:$Q$502,0)),"")</f>
        <v/>
      </c>
      <c r="H48" s="5" t="str">
        <f aca="false">IFERROR(INDEX(Dependencies!$K$3:$K$502,MATCH($A48,Dependencies!$Q$3:$Q$502,0)),"")</f>
        <v/>
      </c>
    </row>
    <row r="49" customFormat="false" ht="15" hidden="false" customHeight="false" outlineLevel="0" collapsed="false">
      <c r="A49" s="5" t="n">
        <v>11</v>
      </c>
      <c r="B49" s="5" t="str">
        <f aca="false">IFERROR(INDEX(Dependencies!$H$3:$H$502,MATCH($A49,Dependencies!$Q$3:$Q$502,0)),"")</f>
        <v/>
      </c>
      <c r="C49" s="5" t="str">
        <f aca="false">IFERROR(INDEX(Dependencies!$E$3:$E$502,MATCH($A49,Dependencies!$Q$3:$Q$502,0)),"")</f>
        <v/>
      </c>
      <c r="D49" s="5" t="str">
        <f aca="false">IFERROR(INDEX(Dependencies!$G$3:$G$502,MATCH($A49,Dependencies!$Q$3:$Q$502,0)),"")</f>
        <v/>
      </c>
      <c r="E49" s="5" t="str">
        <f aca="false">IFERROR(INDEX(Dependencies!$I$3:$I$502,MATCH($A49,Dependencies!$Q$3:$Q$502,0)),"")</f>
        <v/>
      </c>
      <c r="F49" s="5" t="str">
        <f aca="false">IFERROR(INDEX(Dependencies!$J$3:$J$502,MATCH($A49,Dependencies!$Q$3:$Q$502,0)),"")</f>
        <v/>
      </c>
      <c r="G49" s="5" t="str">
        <f aca="false">IFERROR(INDEX(Dependencies!$L$3:$L$502,MATCH($A49,Dependencies!$Q$3:$Q$502,0)),"")</f>
        <v/>
      </c>
      <c r="H49" s="5" t="str">
        <f aca="false">IFERROR(INDEX(Dependencies!$K$3:$K$502,MATCH($A49,Dependencies!$Q$3:$Q$502,0)),"")</f>
        <v/>
      </c>
    </row>
    <row r="50" customFormat="false" ht="15" hidden="false" customHeight="false" outlineLevel="0" collapsed="false">
      <c r="A50" s="5" t="n">
        <v>12</v>
      </c>
      <c r="B50" s="5" t="str">
        <f aca="false">IFERROR(INDEX(Dependencies!$H$3:$H$502,MATCH($A50,Dependencies!$Q$3:$Q$502,0)),"")</f>
        <v/>
      </c>
      <c r="C50" s="5" t="str">
        <f aca="false">IFERROR(INDEX(Dependencies!$E$3:$E$502,MATCH($A50,Dependencies!$Q$3:$Q$502,0)),"")</f>
        <v/>
      </c>
      <c r="D50" s="5" t="str">
        <f aca="false">IFERROR(INDEX(Dependencies!$G$3:$G$502,MATCH($A50,Dependencies!$Q$3:$Q$502,0)),"")</f>
        <v/>
      </c>
      <c r="E50" s="5" t="str">
        <f aca="false">IFERROR(INDEX(Dependencies!$I$3:$I$502,MATCH($A50,Dependencies!$Q$3:$Q$502,0)),"")</f>
        <v/>
      </c>
      <c r="F50" s="5" t="str">
        <f aca="false">IFERROR(INDEX(Dependencies!$J$3:$J$502,MATCH($A50,Dependencies!$Q$3:$Q$502,0)),"")</f>
        <v/>
      </c>
      <c r="G50" s="5" t="str">
        <f aca="false">IFERROR(INDEX(Dependencies!$L$3:$L$502,MATCH($A50,Dependencies!$Q$3:$Q$502,0)),"")</f>
        <v/>
      </c>
      <c r="H50" s="5" t="str">
        <f aca="false">IFERROR(INDEX(Dependencies!$K$3:$K$502,MATCH($A50,Dependencies!$Q$3:$Q$502,0)),"")</f>
        <v/>
      </c>
    </row>
    <row r="51" customFormat="false" ht="15" hidden="false" customHeight="false" outlineLevel="0" collapsed="false">
      <c r="A51" s="5" t="n">
        <v>13</v>
      </c>
      <c r="B51" s="5" t="str">
        <f aca="false">IFERROR(INDEX(Dependencies!$H$3:$H$502,MATCH($A51,Dependencies!$Q$3:$Q$502,0)),"")</f>
        <v/>
      </c>
      <c r="C51" s="5" t="str">
        <f aca="false">IFERROR(INDEX(Dependencies!$E$3:$E$502,MATCH($A51,Dependencies!$Q$3:$Q$502,0)),"")</f>
        <v/>
      </c>
      <c r="D51" s="5" t="str">
        <f aca="false">IFERROR(INDEX(Dependencies!$G$3:$G$502,MATCH($A51,Dependencies!$Q$3:$Q$502,0)),"")</f>
        <v/>
      </c>
      <c r="E51" s="5" t="str">
        <f aca="false">IFERROR(INDEX(Dependencies!$I$3:$I$502,MATCH($A51,Dependencies!$Q$3:$Q$502,0)),"")</f>
        <v/>
      </c>
      <c r="F51" s="5" t="str">
        <f aca="false">IFERROR(INDEX(Dependencies!$J$3:$J$502,MATCH($A51,Dependencies!$Q$3:$Q$502,0)),"")</f>
        <v/>
      </c>
      <c r="G51" s="5" t="str">
        <f aca="false">IFERROR(INDEX(Dependencies!$L$3:$L$502,MATCH($A51,Dependencies!$Q$3:$Q$502,0)),"")</f>
        <v/>
      </c>
      <c r="H51" s="5" t="str">
        <f aca="false">IFERROR(INDEX(Dependencies!$K$3:$K$502,MATCH($A51,Dependencies!$Q$3:$Q$502,0)),"")</f>
        <v/>
      </c>
    </row>
    <row r="52" customFormat="false" ht="15" hidden="false" customHeight="false" outlineLevel="0" collapsed="false">
      <c r="A52" s="5" t="n">
        <v>14</v>
      </c>
      <c r="B52" s="5" t="str">
        <f aca="false">IFERROR(INDEX(Dependencies!$H$3:$H$502,MATCH($A52,Dependencies!$Q$3:$Q$502,0)),"")</f>
        <v/>
      </c>
      <c r="C52" s="5" t="str">
        <f aca="false">IFERROR(INDEX(Dependencies!$E$3:$E$502,MATCH($A52,Dependencies!$Q$3:$Q$502,0)),"")</f>
        <v/>
      </c>
      <c r="D52" s="5" t="str">
        <f aca="false">IFERROR(INDEX(Dependencies!$G$3:$G$502,MATCH($A52,Dependencies!$Q$3:$Q$502,0)),"")</f>
        <v/>
      </c>
      <c r="E52" s="5" t="str">
        <f aca="false">IFERROR(INDEX(Dependencies!$I$3:$I$502,MATCH($A52,Dependencies!$Q$3:$Q$502,0)),"")</f>
        <v/>
      </c>
      <c r="F52" s="5" t="str">
        <f aca="false">IFERROR(INDEX(Dependencies!$J$3:$J$502,MATCH($A52,Dependencies!$Q$3:$Q$502,0)),"")</f>
        <v/>
      </c>
      <c r="G52" s="5" t="str">
        <f aca="false">IFERROR(INDEX(Dependencies!$L$3:$L$502,MATCH($A52,Dependencies!$Q$3:$Q$502,0)),"")</f>
        <v/>
      </c>
      <c r="H52" s="5" t="str">
        <f aca="false">IFERROR(INDEX(Dependencies!$K$3:$K$502,MATCH($A52,Dependencies!$Q$3:$Q$502,0)),"")</f>
        <v/>
      </c>
    </row>
    <row r="53" customFormat="false" ht="15" hidden="false" customHeight="false" outlineLevel="0" collapsed="false">
      <c r="A53" s="5" t="n">
        <v>15</v>
      </c>
      <c r="B53" s="5" t="str">
        <f aca="false">IFERROR(INDEX(Dependencies!$H$3:$H$502,MATCH($A53,Dependencies!$Q$3:$Q$502,0)),"")</f>
        <v/>
      </c>
      <c r="C53" s="5" t="str">
        <f aca="false">IFERROR(INDEX(Dependencies!$E$3:$E$502,MATCH($A53,Dependencies!$Q$3:$Q$502,0)),"")</f>
        <v/>
      </c>
      <c r="D53" s="5" t="str">
        <f aca="false">IFERROR(INDEX(Dependencies!$G$3:$G$502,MATCH($A53,Dependencies!$Q$3:$Q$502,0)),"")</f>
        <v/>
      </c>
      <c r="E53" s="5" t="str">
        <f aca="false">IFERROR(INDEX(Dependencies!$I$3:$I$502,MATCH($A53,Dependencies!$Q$3:$Q$502,0)),"")</f>
        <v/>
      </c>
      <c r="F53" s="5" t="str">
        <f aca="false">IFERROR(INDEX(Dependencies!$J$3:$J$502,MATCH($A53,Dependencies!$Q$3:$Q$502,0)),"")</f>
        <v/>
      </c>
      <c r="G53" s="5" t="str">
        <f aca="false">IFERROR(INDEX(Dependencies!$L$3:$L$502,MATCH($A53,Dependencies!$Q$3:$Q$502,0)),"")</f>
        <v/>
      </c>
      <c r="H53" s="5" t="str">
        <f aca="false">IFERROR(INDEX(Dependencies!$K$3:$K$502,MATCH($A53,Dependencies!$Q$3:$Q$502,0)),"")</f>
        <v/>
      </c>
    </row>
    <row r="54" customFormat="false" ht="15" hidden="false" customHeight="false" outlineLevel="0" collapsed="false">
      <c r="A54" s="5" t="n">
        <v>16</v>
      </c>
      <c r="B54" s="5" t="str">
        <f aca="false">IFERROR(INDEX(Dependencies!$H$3:$H$502,MATCH($A54,Dependencies!$Q$3:$Q$502,0)),"")</f>
        <v/>
      </c>
      <c r="C54" s="5" t="str">
        <f aca="false">IFERROR(INDEX(Dependencies!$E$3:$E$502,MATCH($A54,Dependencies!$Q$3:$Q$502,0)),"")</f>
        <v/>
      </c>
      <c r="D54" s="5" t="str">
        <f aca="false">IFERROR(INDEX(Dependencies!$G$3:$G$502,MATCH($A54,Dependencies!$Q$3:$Q$502,0)),"")</f>
        <v/>
      </c>
      <c r="E54" s="5" t="str">
        <f aca="false">IFERROR(INDEX(Dependencies!$I$3:$I$502,MATCH($A54,Dependencies!$Q$3:$Q$502,0)),"")</f>
        <v/>
      </c>
      <c r="F54" s="5" t="str">
        <f aca="false">IFERROR(INDEX(Dependencies!$J$3:$J$502,MATCH($A54,Dependencies!$Q$3:$Q$502,0)),"")</f>
        <v/>
      </c>
      <c r="G54" s="5" t="str">
        <f aca="false">IFERROR(INDEX(Dependencies!$L$3:$L$502,MATCH($A54,Dependencies!$Q$3:$Q$502,0)),"")</f>
        <v/>
      </c>
      <c r="H54" s="5" t="str">
        <f aca="false">IFERROR(INDEX(Dependencies!$K$3:$K$502,MATCH($A54,Dependencies!$Q$3:$Q$502,0)),"")</f>
        <v/>
      </c>
    </row>
    <row r="55" customFormat="false" ht="15" hidden="false" customHeight="false" outlineLevel="0" collapsed="false">
      <c r="A55" s="5" t="n">
        <v>17</v>
      </c>
      <c r="B55" s="5" t="str">
        <f aca="false">IFERROR(INDEX(Dependencies!$H$3:$H$502,MATCH($A55,Dependencies!$Q$3:$Q$502,0)),"")</f>
        <v/>
      </c>
      <c r="C55" s="5" t="str">
        <f aca="false">IFERROR(INDEX(Dependencies!$E$3:$E$502,MATCH($A55,Dependencies!$Q$3:$Q$502,0)),"")</f>
        <v/>
      </c>
      <c r="D55" s="5" t="str">
        <f aca="false">IFERROR(INDEX(Dependencies!$G$3:$G$502,MATCH($A55,Dependencies!$Q$3:$Q$502,0)),"")</f>
        <v/>
      </c>
      <c r="E55" s="5" t="str">
        <f aca="false">IFERROR(INDEX(Dependencies!$I$3:$I$502,MATCH($A55,Dependencies!$Q$3:$Q$502,0)),"")</f>
        <v/>
      </c>
      <c r="F55" s="5" t="str">
        <f aca="false">IFERROR(INDEX(Dependencies!$J$3:$J$502,MATCH($A55,Dependencies!$Q$3:$Q$502,0)),"")</f>
        <v/>
      </c>
      <c r="G55" s="5" t="str">
        <f aca="false">IFERROR(INDEX(Dependencies!$L$3:$L$502,MATCH($A55,Dependencies!$Q$3:$Q$502,0)),"")</f>
        <v/>
      </c>
      <c r="H55" s="5" t="str">
        <f aca="false">IFERROR(INDEX(Dependencies!$K$3:$K$502,MATCH($A55,Dependencies!$Q$3:$Q$502,0)),"")</f>
        <v/>
      </c>
    </row>
    <row r="56" customFormat="false" ht="15" hidden="false" customHeight="false" outlineLevel="0" collapsed="false">
      <c r="A56" s="5" t="n">
        <v>18</v>
      </c>
      <c r="B56" s="5" t="str">
        <f aca="false">IFERROR(INDEX(Dependencies!$H$3:$H$502,MATCH($A56,Dependencies!$Q$3:$Q$502,0)),"")</f>
        <v/>
      </c>
      <c r="C56" s="5" t="str">
        <f aca="false">IFERROR(INDEX(Dependencies!$E$3:$E$502,MATCH($A56,Dependencies!$Q$3:$Q$502,0)),"")</f>
        <v/>
      </c>
      <c r="D56" s="5" t="str">
        <f aca="false">IFERROR(INDEX(Dependencies!$G$3:$G$502,MATCH($A56,Dependencies!$Q$3:$Q$502,0)),"")</f>
        <v/>
      </c>
      <c r="E56" s="5" t="str">
        <f aca="false">IFERROR(INDEX(Dependencies!$I$3:$I$502,MATCH($A56,Dependencies!$Q$3:$Q$502,0)),"")</f>
        <v/>
      </c>
      <c r="F56" s="5" t="str">
        <f aca="false">IFERROR(INDEX(Dependencies!$J$3:$J$502,MATCH($A56,Dependencies!$Q$3:$Q$502,0)),"")</f>
        <v/>
      </c>
      <c r="G56" s="5" t="str">
        <f aca="false">IFERROR(INDEX(Dependencies!$L$3:$L$502,MATCH($A56,Dependencies!$Q$3:$Q$502,0)),"")</f>
        <v/>
      </c>
      <c r="H56" s="5" t="str">
        <f aca="false">IFERROR(INDEX(Dependencies!$K$3:$K$502,MATCH($A56,Dependencies!$Q$3:$Q$502,0)),"")</f>
        <v/>
      </c>
    </row>
    <row r="57" customFormat="false" ht="15" hidden="false" customHeight="false" outlineLevel="0" collapsed="false">
      <c r="A57" s="5" t="n">
        <v>19</v>
      </c>
      <c r="B57" s="5" t="str">
        <f aca="false">IFERROR(INDEX(Dependencies!$H$3:$H$502,MATCH($A57,Dependencies!$Q$3:$Q$502,0)),"")</f>
        <v/>
      </c>
      <c r="C57" s="5" t="str">
        <f aca="false">IFERROR(INDEX(Dependencies!$E$3:$E$502,MATCH($A57,Dependencies!$Q$3:$Q$502,0)),"")</f>
        <v/>
      </c>
      <c r="D57" s="5" t="str">
        <f aca="false">IFERROR(INDEX(Dependencies!$G$3:$G$502,MATCH($A57,Dependencies!$Q$3:$Q$502,0)),"")</f>
        <v/>
      </c>
      <c r="E57" s="5" t="str">
        <f aca="false">IFERROR(INDEX(Dependencies!$I$3:$I$502,MATCH($A57,Dependencies!$Q$3:$Q$502,0)),"")</f>
        <v/>
      </c>
      <c r="F57" s="5" t="str">
        <f aca="false">IFERROR(INDEX(Dependencies!$J$3:$J$502,MATCH($A57,Dependencies!$Q$3:$Q$502,0)),"")</f>
        <v/>
      </c>
      <c r="G57" s="5" t="str">
        <f aca="false">IFERROR(INDEX(Dependencies!$L$3:$L$502,MATCH($A57,Dependencies!$Q$3:$Q$502,0)),"")</f>
        <v/>
      </c>
      <c r="H57" s="5" t="str">
        <f aca="false">IFERROR(INDEX(Dependencies!$K$3:$K$502,MATCH($A57,Dependencies!$Q$3:$Q$502,0)),"")</f>
        <v/>
      </c>
    </row>
    <row r="58" customFormat="false" ht="15" hidden="false" customHeight="false" outlineLevel="0" collapsed="false">
      <c r="A58" s="5" t="n">
        <v>20</v>
      </c>
      <c r="B58" s="5" t="str">
        <f aca="false">IFERROR(INDEX(Dependencies!$H$3:$H$502,MATCH($A58,Dependencies!$Q$3:$Q$502,0)),"")</f>
        <v/>
      </c>
      <c r="C58" s="5" t="str">
        <f aca="false">IFERROR(INDEX(Dependencies!$E$3:$E$502,MATCH($A58,Dependencies!$Q$3:$Q$502,0)),"")</f>
        <v/>
      </c>
      <c r="D58" s="5" t="str">
        <f aca="false">IFERROR(INDEX(Dependencies!$G$3:$G$502,MATCH($A58,Dependencies!$Q$3:$Q$502,0)),"")</f>
        <v/>
      </c>
      <c r="E58" s="5" t="str">
        <f aca="false">IFERROR(INDEX(Dependencies!$I$3:$I$502,MATCH($A58,Dependencies!$Q$3:$Q$502,0)),"")</f>
        <v/>
      </c>
      <c r="F58" s="5" t="str">
        <f aca="false">IFERROR(INDEX(Dependencies!$J$3:$J$502,MATCH($A58,Dependencies!$Q$3:$Q$502,0)),"")</f>
        <v/>
      </c>
      <c r="G58" s="5" t="str">
        <f aca="false">IFERROR(INDEX(Dependencies!$L$3:$L$502,MATCH($A58,Dependencies!$Q$3:$Q$502,0)),"")</f>
        <v/>
      </c>
      <c r="H58" s="5" t="str">
        <f aca="false">IFERROR(INDEX(Dependencies!$K$3:$K$502,MATCH($A58,Dependencies!$Q$3:$Q$502,0)),"")</f>
        <v/>
      </c>
    </row>
    <row r="59" customFormat="false" ht="15" hidden="false" customHeight="false" outlineLevel="0" collapsed="false">
      <c r="A59" s="5" t="n">
        <v>21</v>
      </c>
      <c r="B59" s="5" t="str">
        <f aca="false">IFERROR(INDEX(Dependencies!$H$3:$H$502,MATCH($A59,Dependencies!$Q$3:$Q$502,0)),"")</f>
        <v/>
      </c>
      <c r="C59" s="5" t="str">
        <f aca="false">IFERROR(INDEX(Dependencies!$E$3:$E$502,MATCH($A59,Dependencies!$Q$3:$Q$502,0)),"")</f>
        <v/>
      </c>
      <c r="D59" s="5" t="str">
        <f aca="false">IFERROR(INDEX(Dependencies!$G$3:$G$502,MATCH($A59,Dependencies!$Q$3:$Q$502,0)),"")</f>
        <v/>
      </c>
      <c r="E59" s="5" t="str">
        <f aca="false">IFERROR(INDEX(Dependencies!$I$3:$I$502,MATCH($A59,Dependencies!$Q$3:$Q$502,0)),"")</f>
        <v/>
      </c>
      <c r="F59" s="5" t="str">
        <f aca="false">IFERROR(INDEX(Dependencies!$J$3:$J$502,MATCH($A59,Dependencies!$Q$3:$Q$502,0)),"")</f>
        <v/>
      </c>
      <c r="G59" s="5" t="str">
        <f aca="false">IFERROR(INDEX(Dependencies!$L$3:$L$502,MATCH($A59,Dependencies!$Q$3:$Q$502,0)),"")</f>
        <v/>
      </c>
      <c r="H59" s="5" t="str">
        <f aca="false">IFERROR(INDEX(Dependencies!$K$3:$K$502,MATCH($A59,Dependencies!$Q$3:$Q$502,0)),"")</f>
        <v/>
      </c>
    </row>
    <row r="60" customFormat="false" ht="15" hidden="false" customHeight="false" outlineLevel="0" collapsed="false">
      <c r="A60" s="5" t="n">
        <v>22</v>
      </c>
      <c r="B60" s="5" t="str">
        <f aca="false">IFERROR(INDEX(Dependencies!$H$3:$H$502,MATCH($A60,Dependencies!$Q$3:$Q$502,0)),"")</f>
        <v/>
      </c>
      <c r="C60" s="5" t="str">
        <f aca="false">IFERROR(INDEX(Dependencies!$E$3:$E$502,MATCH($A60,Dependencies!$Q$3:$Q$502,0)),"")</f>
        <v/>
      </c>
      <c r="D60" s="5" t="str">
        <f aca="false">IFERROR(INDEX(Dependencies!$G$3:$G$502,MATCH($A60,Dependencies!$Q$3:$Q$502,0)),"")</f>
        <v/>
      </c>
      <c r="E60" s="5" t="str">
        <f aca="false">IFERROR(INDEX(Dependencies!$I$3:$I$502,MATCH($A60,Dependencies!$Q$3:$Q$502,0)),"")</f>
        <v/>
      </c>
      <c r="F60" s="5" t="str">
        <f aca="false">IFERROR(INDEX(Dependencies!$J$3:$J$502,MATCH($A60,Dependencies!$Q$3:$Q$502,0)),"")</f>
        <v/>
      </c>
      <c r="G60" s="5" t="str">
        <f aca="false">IFERROR(INDEX(Dependencies!$L$3:$L$502,MATCH($A60,Dependencies!$Q$3:$Q$502,0)),"")</f>
        <v/>
      </c>
      <c r="H60" s="5" t="str">
        <f aca="false">IFERROR(INDEX(Dependencies!$K$3:$K$502,MATCH($A60,Dependencies!$Q$3:$Q$502,0)),"")</f>
        <v/>
      </c>
    </row>
    <row r="61" customFormat="false" ht="15" hidden="false" customHeight="false" outlineLevel="0" collapsed="false">
      <c r="A61" s="5" t="n">
        <v>23</v>
      </c>
      <c r="B61" s="5" t="str">
        <f aca="false">IFERROR(INDEX(Dependencies!$H$3:$H$502,MATCH($A61,Dependencies!$Q$3:$Q$502,0)),"")</f>
        <v/>
      </c>
      <c r="C61" s="5" t="str">
        <f aca="false">IFERROR(INDEX(Dependencies!$E$3:$E$502,MATCH($A61,Dependencies!$Q$3:$Q$502,0)),"")</f>
        <v/>
      </c>
      <c r="D61" s="5" t="str">
        <f aca="false">IFERROR(INDEX(Dependencies!$G$3:$G$502,MATCH($A61,Dependencies!$Q$3:$Q$502,0)),"")</f>
        <v/>
      </c>
      <c r="E61" s="5" t="str">
        <f aca="false">IFERROR(INDEX(Dependencies!$I$3:$I$502,MATCH($A61,Dependencies!$Q$3:$Q$502,0)),"")</f>
        <v/>
      </c>
      <c r="F61" s="5" t="str">
        <f aca="false">IFERROR(INDEX(Dependencies!$J$3:$J$502,MATCH($A61,Dependencies!$Q$3:$Q$502,0)),"")</f>
        <v/>
      </c>
      <c r="G61" s="5" t="str">
        <f aca="false">IFERROR(INDEX(Dependencies!$L$3:$L$502,MATCH($A61,Dependencies!$Q$3:$Q$502,0)),"")</f>
        <v/>
      </c>
      <c r="H61" s="5" t="str">
        <f aca="false">IFERROR(INDEX(Dependencies!$K$3:$K$502,MATCH($A61,Dependencies!$Q$3:$Q$502,0)),"")</f>
        <v/>
      </c>
    </row>
    <row r="62" customFormat="false" ht="15" hidden="false" customHeight="false" outlineLevel="0" collapsed="false">
      <c r="A62" s="5" t="n">
        <v>24</v>
      </c>
      <c r="B62" s="5" t="str">
        <f aca="false">IFERROR(INDEX(Dependencies!$H$3:$H$502,MATCH($A62,Dependencies!$Q$3:$Q$502,0)),"")</f>
        <v/>
      </c>
      <c r="C62" s="5" t="str">
        <f aca="false">IFERROR(INDEX(Dependencies!$E$3:$E$502,MATCH($A62,Dependencies!$Q$3:$Q$502,0)),"")</f>
        <v/>
      </c>
      <c r="D62" s="5" t="str">
        <f aca="false">IFERROR(INDEX(Dependencies!$G$3:$G$502,MATCH($A62,Dependencies!$Q$3:$Q$502,0)),"")</f>
        <v/>
      </c>
      <c r="E62" s="5" t="str">
        <f aca="false">IFERROR(INDEX(Dependencies!$I$3:$I$502,MATCH($A62,Dependencies!$Q$3:$Q$502,0)),"")</f>
        <v/>
      </c>
      <c r="F62" s="5" t="str">
        <f aca="false">IFERROR(INDEX(Dependencies!$J$3:$J$502,MATCH($A62,Dependencies!$Q$3:$Q$502,0)),"")</f>
        <v/>
      </c>
      <c r="G62" s="5" t="str">
        <f aca="false">IFERROR(INDEX(Dependencies!$L$3:$L$502,MATCH($A62,Dependencies!$Q$3:$Q$502,0)),"")</f>
        <v/>
      </c>
      <c r="H62" s="5" t="str">
        <f aca="false">IFERROR(INDEX(Dependencies!$K$3:$K$502,MATCH($A62,Dependencies!$Q$3:$Q$502,0)),"")</f>
        <v/>
      </c>
    </row>
    <row r="63" customFormat="false" ht="15" hidden="false" customHeight="false" outlineLevel="0" collapsed="false">
      <c r="A63" s="5" t="n">
        <v>25</v>
      </c>
      <c r="B63" s="5" t="str">
        <f aca="false">IFERROR(INDEX(Dependencies!$H$3:$H$502,MATCH($A63,Dependencies!$Q$3:$Q$502,0)),"")</f>
        <v/>
      </c>
      <c r="C63" s="5" t="str">
        <f aca="false">IFERROR(INDEX(Dependencies!$E$3:$E$502,MATCH($A63,Dependencies!$Q$3:$Q$502,0)),"")</f>
        <v/>
      </c>
      <c r="D63" s="5" t="str">
        <f aca="false">IFERROR(INDEX(Dependencies!$G$3:$G$502,MATCH($A63,Dependencies!$Q$3:$Q$502,0)),"")</f>
        <v/>
      </c>
      <c r="E63" s="5" t="str">
        <f aca="false">IFERROR(INDEX(Dependencies!$I$3:$I$502,MATCH($A63,Dependencies!$Q$3:$Q$502,0)),"")</f>
        <v/>
      </c>
      <c r="F63" s="5" t="str">
        <f aca="false">IFERROR(INDEX(Dependencies!$J$3:$J$502,MATCH($A63,Dependencies!$Q$3:$Q$502,0)),"")</f>
        <v/>
      </c>
      <c r="G63" s="5" t="str">
        <f aca="false">IFERROR(INDEX(Dependencies!$L$3:$L$502,MATCH($A63,Dependencies!$Q$3:$Q$502,0)),"")</f>
        <v/>
      </c>
      <c r="H63" s="5" t="str">
        <f aca="false">IFERROR(INDEX(Dependencies!$K$3:$K$502,MATCH($A63,Dependencies!$Q$3:$Q$502,0)),"")</f>
        <v/>
      </c>
    </row>
    <row r="64" customFormat="false" ht="15" hidden="false" customHeight="false" outlineLevel="0" collapsed="false">
      <c r="A64" s="16" t="s">
        <v>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R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0"/>
    <col collapsed="false" customWidth="true" hidden="false" outlineLevel="0" max="2" min="2" style="20" width="13"/>
    <col collapsed="false" customWidth="true" hidden="false" outlineLevel="0" max="3" min="3" style="2" width="24"/>
    <col collapsed="false" customWidth="true" hidden="false" outlineLevel="0" max="4" min="4" style="2" width="36"/>
    <col collapsed="false" customWidth="true" hidden="false" outlineLevel="0" max="6" min="5" style="2" width="26"/>
    <col collapsed="false" customWidth="true" hidden="false" outlineLevel="0" max="8" min="7" style="2" width="11"/>
    <col collapsed="false" customWidth="true" hidden="false" outlineLevel="0" max="9" min="9" style="2" width="13"/>
    <col collapsed="false" customWidth="true" hidden="false" outlineLevel="0" max="10" min="10" style="2" width="16"/>
    <col collapsed="false" customWidth="true" hidden="false" outlineLevel="0" max="11" min="11" style="2" width="30"/>
    <col collapsed="false" customWidth="true" hidden="false" outlineLevel="0" max="12" min="12" style="2" width="13"/>
    <col collapsed="false" customWidth="true" hidden="false" outlineLevel="0" max="13" min="13" style="20" width="13"/>
    <col collapsed="false" customWidth="true" hidden="false" outlineLevel="0" max="14" min="14" style="2" width="26"/>
    <col collapsed="false" customWidth="true" hidden="false" outlineLevel="0" max="15" min="15" style="2" width="30"/>
    <col collapsed="false" customWidth="true" hidden="false" outlineLevel="0" max="16" min="16" style="2" width="14"/>
    <col collapsed="false" customWidth="true" hidden="false" outlineLevel="0" max="17" min="17" style="2" width="18"/>
    <col collapsed="false" customWidth="true" hidden="false" outlineLevel="0" max="18" min="18" style="2" width="30"/>
  </cols>
  <sheetData>
    <row r="1" customFormat="false" ht="15" hidden="false" customHeight="false" outlineLevel="0" collapsed="false">
      <c r="A1" s="8" t="s">
        <v>623</v>
      </c>
    </row>
    <row r="2" customFormat="false" ht="43.5" hidden="false" customHeight="true" outlineLevel="0" collapsed="false">
      <c r="A2" s="13" t="s">
        <v>624</v>
      </c>
      <c r="B2" s="13" t="s">
        <v>625</v>
      </c>
      <c r="C2" s="13" t="s">
        <v>626</v>
      </c>
      <c r="D2" s="13" t="s">
        <v>627</v>
      </c>
      <c r="E2" s="13" t="s">
        <v>628</v>
      </c>
      <c r="F2" s="13" t="s">
        <v>629</v>
      </c>
      <c r="G2" s="13" t="s">
        <v>630</v>
      </c>
      <c r="H2" s="13" t="s">
        <v>631</v>
      </c>
      <c r="I2" s="13" t="s">
        <v>632</v>
      </c>
      <c r="J2" s="13" t="s">
        <v>633</v>
      </c>
      <c r="K2" s="13" t="s">
        <v>634</v>
      </c>
      <c r="L2" s="13" t="s">
        <v>224</v>
      </c>
      <c r="M2" s="13" t="s">
        <v>635</v>
      </c>
      <c r="N2" s="13" t="s">
        <v>636</v>
      </c>
      <c r="O2" s="13" t="s">
        <v>585</v>
      </c>
      <c r="P2" s="13" t="s">
        <v>637</v>
      </c>
      <c r="Q2" s="13" t="s">
        <v>638</v>
      </c>
      <c r="R2" s="13" t="s">
        <v>236</v>
      </c>
    </row>
    <row r="3" customFormat="false" ht="35.05" hidden="false" customHeight="false" outlineLevel="0" collapsed="false">
      <c r="A3" s="21" t="s">
        <v>639</v>
      </c>
      <c r="B3" s="21"/>
      <c r="C3" s="21" t="s">
        <v>640</v>
      </c>
      <c r="D3" s="21" t="s">
        <v>641</v>
      </c>
      <c r="E3" s="21" t="s">
        <v>642</v>
      </c>
      <c r="F3" s="21" t="s">
        <v>643</v>
      </c>
      <c r="G3" s="21" t="s">
        <v>248</v>
      </c>
      <c r="H3" s="21" t="s">
        <v>248</v>
      </c>
      <c r="I3" s="28" t="str">
        <f aca="false">IF(OR(G3="",H3=""),"",IF(MATCH(G3,{"Low","Medium","High"},0)*MATCH(H3,{"Low","Medium","High","Critical"},0)&gt;=9,"Critical",IF(MATCH(G3,{"Low","Medium","High"},0)*MATCH(H3,{"Low","Medium","High","Critical"},0)&gt;=6,"High",IF(MATCH(G3,{"Low","Medium","High"},0)*MATCH(H3,{"Low","Medium","High","Critical"},0)&gt;=3,"Medium","Low"))))</f>
        <v>Critical</v>
      </c>
      <c r="J3" s="21"/>
      <c r="K3" s="21" t="s">
        <v>644</v>
      </c>
      <c r="L3" s="21" t="s">
        <v>645</v>
      </c>
      <c r="M3" s="21"/>
      <c r="N3" s="21"/>
      <c r="O3" s="21" t="s">
        <v>646</v>
      </c>
      <c r="P3" s="21"/>
      <c r="Q3" s="21"/>
      <c r="R3" s="21" t="s">
        <v>647</v>
      </c>
    </row>
    <row r="4" customFormat="false" ht="35.05" hidden="false" customHeight="false" outlineLevel="0" collapsed="false">
      <c r="A4" s="21" t="s">
        <v>648</v>
      </c>
      <c r="B4" s="21"/>
      <c r="C4" s="21" t="s">
        <v>649</v>
      </c>
      <c r="D4" s="21" t="s">
        <v>650</v>
      </c>
      <c r="E4" s="21" t="s">
        <v>651</v>
      </c>
      <c r="F4" s="21"/>
      <c r="G4" s="21" t="s">
        <v>248</v>
      </c>
      <c r="H4" s="21" t="s">
        <v>264</v>
      </c>
      <c r="I4" s="28" t="str">
        <f aca="false">IF(OR(G4="",H4=""),"",IF(MATCH(G4,{"Low","Medium","High"},0)*MATCH(H4,{"Low","Medium","High","Critical"},0)&gt;=9,"Critical",IF(MATCH(G4,{"Low","Medium","High"},0)*MATCH(H4,{"Low","Medium","High","Critical"},0)&gt;=6,"High",IF(MATCH(G4,{"Low","Medium","High"},0)*MATCH(H4,{"Low","Medium","High","Critical"},0)&gt;=3,"Medium","Low"))))</f>
        <v>High</v>
      </c>
      <c r="J4" s="21"/>
      <c r="K4" s="21" t="s">
        <v>652</v>
      </c>
      <c r="L4" s="21" t="s">
        <v>645</v>
      </c>
      <c r="M4" s="21"/>
      <c r="N4" s="21"/>
      <c r="O4" s="21" t="s">
        <v>653</v>
      </c>
      <c r="P4" s="21"/>
      <c r="Q4" s="21"/>
      <c r="R4" s="21" t="s">
        <v>654</v>
      </c>
    </row>
    <row r="5" customFormat="false" ht="57.45" hidden="false" customHeight="false" outlineLevel="0" collapsed="false">
      <c r="A5" s="21" t="s">
        <v>655</v>
      </c>
      <c r="B5" s="21"/>
      <c r="C5" s="21" t="s">
        <v>656</v>
      </c>
      <c r="D5" s="21" t="s">
        <v>657</v>
      </c>
      <c r="E5" s="21"/>
      <c r="F5" s="21"/>
      <c r="G5" s="21"/>
      <c r="H5" s="21"/>
      <c r="I5" s="28" t="str">
        <f aca="false">IF(OR(G5="",H5=""),"",IF(MATCH(G5,{"Low","Medium","High"},0)*MATCH(H5,{"Low","Medium","High","Critical"},0)&gt;=9,"Critical",IF(MATCH(G5,{"Low","Medium","High"},0)*MATCH(H5,{"Low","Medium","High","Critical"},0)&gt;=6,"High",IF(MATCH(G5,{"Low","Medium","High"},0)*MATCH(H5,{"Low","Medium","High","Critical"},0)&gt;=3,"Medium","Low"))))</f>
        <v/>
      </c>
      <c r="J5" s="21"/>
      <c r="K5" s="21"/>
      <c r="L5" s="21" t="s">
        <v>658</v>
      </c>
      <c r="M5" s="21"/>
      <c r="N5" s="21"/>
      <c r="O5" s="21"/>
      <c r="P5" s="21"/>
      <c r="Q5" s="21"/>
      <c r="R5" s="21" t="s">
        <v>659</v>
      </c>
    </row>
    <row r="6" customFormat="false" ht="57.45" hidden="false" customHeight="false" outlineLevel="0" collapsed="false">
      <c r="A6" s="21" t="s">
        <v>660</v>
      </c>
      <c r="B6" s="21"/>
      <c r="C6" s="21" t="s">
        <v>661</v>
      </c>
      <c r="D6" s="21" t="s">
        <v>662</v>
      </c>
      <c r="E6" s="21"/>
      <c r="F6" s="21"/>
      <c r="G6" s="21"/>
      <c r="H6" s="21"/>
      <c r="I6" s="28" t="str">
        <f aca="false">IF(OR(G6="",H6=""),"",IF(MATCH(G6,{"Low","Medium","High"},0)*MATCH(H6,{"Low","Medium","High","Critical"},0)&gt;=9,"Critical",IF(MATCH(G6,{"Low","Medium","High"},0)*MATCH(H6,{"Low","Medium","High","Critical"},0)&gt;=6,"High",IF(MATCH(G6,{"Low","Medium","High"},0)*MATCH(H6,{"Low","Medium","High","Critical"},0)&gt;=3,"Medium","Low"))))</f>
        <v/>
      </c>
      <c r="J6" s="21"/>
      <c r="K6" s="21"/>
      <c r="L6" s="21" t="s">
        <v>658</v>
      </c>
      <c r="M6" s="21"/>
      <c r="N6" s="21"/>
      <c r="O6" s="21"/>
      <c r="P6" s="21"/>
      <c r="Q6" s="21"/>
      <c r="R6" s="21" t="s">
        <v>659</v>
      </c>
    </row>
    <row r="7" customFormat="false" ht="57.45" hidden="false" customHeight="false" outlineLevel="0" collapsed="false">
      <c r="A7" s="21" t="s">
        <v>663</v>
      </c>
      <c r="B7" s="21"/>
      <c r="C7" s="21" t="s">
        <v>664</v>
      </c>
      <c r="D7" s="21" t="s">
        <v>665</v>
      </c>
      <c r="E7" s="21"/>
      <c r="F7" s="21"/>
      <c r="G7" s="21"/>
      <c r="H7" s="21"/>
      <c r="I7" s="28" t="str">
        <f aca="false">IF(OR(G7="",H7=""),"",IF(MATCH(G7,{"Low","Medium","High"},0)*MATCH(H7,{"Low","Medium","High","Critical"},0)&gt;=9,"Critical",IF(MATCH(G7,{"Low","Medium","High"},0)*MATCH(H7,{"Low","Medium","High","Critical"},0)&gt;=6,"High",IF(MATCH(G7,{"Low","Medium","High"},0)*MATCH(H7,{"Low","Medium","High","Critical"},0)&gt;=3,"Medium","Low"))))</f>
        <v/>
      </c>
      <c r="J7" s="21"/>
      <c r="K7" s="21"/>
      <c r="L7" s="21" t="s">
        <v>658</v>
      </c>
      <c r="M7" s="21"/>
      <c r="N7" s="21"/>
      <c r="O7" s="21"/>
      <c r="P7" s="21"/>
      <c r="Q7" s="21"/>
      <c r="R7" s="21" t="s">
        <v>659</v>
      </c>
    </row>
    <row r="8" customFormat="false" ht="57.45" hidden="false" customHeight="false" outlineLevel="0" collapsed="false">
      <c r="A8" s="21" t="s">
        <v>666</v>
      </c>
      <c r="B8" s="21"/>
      <c r="C8" s="21" t="s">
        <v>667</v>
      </c>
      <c r="D8" s="21" t="s">
        <v>668</v>
      </c>
      <c r="E8" s="21"/>
      <c r="F8" s="21"/>
      <c r="G8" s="21"/>
      <c r="H8" s="21"/>
      <c r="I8" s="28" t="str">
        <f aca="false">IF(OR(G8="",H8=""),"",IF(MATCH(G8,{"Low","Medium","High"},0)*MATCH(H8,{"Low","Medium","High","Critical"},0)&gt;=9,"Critical",IF(MATCH(G8,{"Low","Medium","High"},0)*MATCH(H8,{"Low","Medium","High","Critical"},0)&gt;=6,"High",IF(MATCH(G8,{"Low","Medium","High"},0)*MATCH(H8,{"Low","Medium","High","Critical"},0)&gt;=3,"Medium","Low"))))</f>
        <v/>
      </c>
      <c r="J8" s="21"/>
      <c r="K8" s="21"/>
      <c r="L8" s="21" t="s">
        <v>658</v>
      </c>
      <c r="M8" s="21"/>
      <c r="N8" s="21"/>
      <c r="O8" s="21"/>
      <c r="P8" s="21"/>
      <c r="Q8" s="21"/>
      <c r="R8" s="21" t="s">
        <v>659</v>
      </c>
    </row>
    <row r="9" customFormat="false" ht="57.45" hidden="false" customHeight="false" outlineLevel="0" collapsed="false">
      <c r="A9" s="21" t="s">
        <v>669</v>
      </c>
      <c r="B9" s="21"/>
      <c r="C9" s="21" t="s">
        <v>670</v>
      </c>
      <c r="D9" s="21" t="s">
        <v>671</v>
      </c>
      <c r="E9" s="21"/>
      <c r="F9" s="21"/>
      <c r="G9" s="21"/>
      <c r="H9" s="21"/>
      <c r="I9" s="28" t="str">
        <f aca="false">IF(OR(G9="",H9=""),"",IF(MATCH(G9,{"Low","Medium","High"},0)*MATCH(H9,{"Low","Medium","High","Critical"},0)&gt;=9,"Critical",IF(MATCH(G9,{"Low","Medium","High"},0)*MATCH(H9,{"Low","Medium","High","Critical"},0)&gt;=6,"High",IF(MATCH(G9,{"Low","Medium","High"},0)*MATCH(H9,{"Low","Medium","High","Critical"},0)&gt;=3,"Medium","Low"))))</f>
        <v/>
      </c>
      <c r="J9" s="21"/>
      <c r="K9" s="21"/>
      <c r="L9" s="21" t="s">
        <v>658</v>
      </c>
      <c r="M9" s="21"/>
      <c r="N9" s="21"/>
      <c r="O9" s="21"/>
      <c r="P9" s="21"/>
      <c r="Q9" s="21"/>
      <c r="R9" s="21" t="s">
        <v>659</v>
      </c>
    </row>
    <row r="10" customFormat="false" ht="57.45" hidden="false" customHeight="false" outlineLevel="0" collapsed="false">
      <c r="A10" s="21" t="s">
        <v>672</v>
      </c>
      <c r="B10" s="21"/>
      <c r="C10" s="21" t="s">
        <v>673</v>
      </c>
      <c r="D10" s="21" t="s">
        <v>674</v>
      </c>
      <c r="E10" s="21"/>
      <c r="F10" s="21"/>
      <c r="G10" s="21"/>
      <c r="H10" s="21"/>
      <c r="I10" s="28" t="str">
        <f aca="false">IF(OR(G10="",H10=""),"",IF(MATCH(G10,{"Low","Medium","High"},0)*MATCH(H10,{"Low","Medium","High","Critical"},0)&gt;=9,"Critical",IF(MATCH(G10,{"Low","Medium","High"},0)*MATCH(H10,{"Low","Medium","High","Critical"},0)&gt;=6,"High",IF(MATCH(G10,{"Low","Medium","High"},0)*MATCH(H10,{"Low","Medium","High","Critical"},0)&gt;=3,"Medium","Low"))))</f>
        <v/>
      </c>
      <c r="J10" s="21"/>
      <c r="K10" s="21"/>
      <c r="L10" s="21" t="s">
        <v>658</v>
      </c>
      <c r="M10" s="21"/>
      <c r="N10" s="21"/>
      <c r="O10" s="21"/>
      <c r="P10" s="21"/>
      <c r="Q10" s="21"/>
      <c r="R10" s="21" t="s">
        <v>659</v>
      </c>
    </row>
    <row r="11" customFormat="false" ht="57.45" hidden="false" customHeight="false" outlineLevel="0" collapsed="false">
      <c r="A11" s="21" t="s">
        <v>675</v>
      </c>
      <c r="B11" s="21"/>
      <c r="C11" s="21" t="s">
        <v>676</v>
      </c>
      <c r="D11" s="21" t="s">
        <v>677</v>
      </c>
      <c r="E11" s="21"/>
      <c r="F11" s="21"/>
      <c r="G11" s="21"/>
      <c r="H11" s="21"/>
      <c r="I11" s="28" t="str">
        <f aca="false">IF(OR(G11="",H11=""),"",IF(MATCH(G11,{"Low","Medium","High"},0)*MATCH(H11,{"Low","Medium","High","Critical"},0)&gt;=9,"Critical",IF(MATCH(G11,{"Low","Medium","High"},0)*MATCH(H11,{"Low","Medium","High","Critical"},0)&gt;=6,"High",IF(MATCH(G11,{"Low","Medium","High"},0)*MATCH(H11,{"Low","Medium","High","Critical"},0)&gt;=3,"Medium","Low"))))</f>
        <v/>
      </c>
      <c r="J11" s="21"/>
      <c r="K11" s="21"/>
      <c r="L11" s="21" t="s">
        <v>658</v>
      </c>
      <c r="M11" s="21"/>
      <c r="N11" s="21"/>
      <c r="O11" s="21"/>
      <c r="P11" s="21"/>
      <c r="Q11" s="21"/>
      <c r="R11" s="21" t="s">
        <v>659</v>
      </c>
    </row>
    <row r="12" customFormat="false" ht="57.45" hidden="false" customHeight="false" outlineLevel="0" collapsed="false">
      <c r="A12" s="21" t="s">
        <v>678</v>
      </c>
      <c r="B12" s="21"/>
      <c r="C12" s="21" t="s">
        <v>679</v>
      </c>
      <c r="D12" s="21" t="s">
        <v>680</v>
      </c>
      <c r="E12" s="21"/>
      <c r="F12" s="21"/>
      <c r="G12" s="21"/>
      <c r="H12" s="21"/>
      <c r="I12" s="28" t="str">
        <f aca="false">IF(OR(G12="",H12=""),"",IF(MATCH(G12,{"Low","Medium","High"},0)*MATCH(H12,{"Low","Medium","High","Critical"},0)&gt;=9,"Critical",IF(MATCH(G12,{"Low","Medium","High"},0)*MATCH(H12,{"Low","Medium","High","Critical"},0)&gt;=6,"High",IF(MATCH(G12,{"Low","Medium","High"},0)*MATCH(H12,{"Low","Medium","High","Critical"},0)&gt;=3,"Medium","Low"))))</f>
        <v/>
      </c>
      <c r="J12" s="21"/>
      <c r="K12" s="21"/>
      <c r="L12" s="21" t="s">
        <v>658</v>
      </c>
      <c r="M12" s="21"/>
      <c r="N12" s="21"/>
      <c r="O12" s="21"/>
      <c r="P12" s="21"/>
      <c r="Q12" s="21"/>
      <c r="R12" s="21" t="s">
        <v>659</v>
      </c>
    </row>
    <row r="13" customFormat="false" ht="57.45" hidden="false" customHeight="false" outlineLevel="0" collapsed="false">
      <c r="A13" s="21" t="s">
        <v>681</v>
      </c>
      <c r="B13" s="21"/>
      <c r="C13" s="21" t="s">
        <v>682</v>
      </c>
      <c r="D13" s="21" t="s">
        <v>683</v>
      </c>
      <c r="E13" s="21"/>
      <c r="F13" s="21"/>
      <c r="G13" s="21"/>
      <c r="H13" s="21"/>
      <c r="I13" s="28" t="str">
        <f aca="false">IF(OR(G13="",H13=""),"",IF(MATCH(G13,{"Low","Medium","High"},0)*MATCH(H13,{"Low","Medium","High","Critical"},0)&gt;=9,"Critical",IF(MATCH(G13,{"Low","Medium","High"},0)*MATCH(H13,{"Low","Medium","High","Critical"},0)&gt;=6,"High",IF(MATCH(G13,{"Low","Medium","High"},0)*MATCH(H13,{"Low","Medium","High","Critical"},0)&gt;=3,"Medium","Low"))))</f>
        <v/>
      </c>
      <c r="J13" s="21"/>
      <c r="K13" s="21"/>
      <c r="L13" s="21" t="s">
        <v>658</v>
      </c>
      <c r="M13" s="21"/>
      <c r="N13" s="21"/>
      <c r="O13" s="21"/>
      <c r="P13" s="21"/>
      <c r="Q13" s="21"/>
      <c r="R13" s="21" t="s">
        <v>659</v>
      </c>
    </row>
    <row r="14" customFormat="false" ht="57.45" hidden="false" customHeight="false" outlineLevel="0" collapsed="false">
      <c r="A14" s="21" t="s">
        <v>684</v>
      </c>
      <c r="B14" s="21"/>
      <c r="C14" s="21" t="s">
        <v>685</v>
      </c>
      <c r="D14" s="21" t="s">
        <v>686</v>
      </c>
      <c r="E14" s="21"/>
      <c r="F14" s="21"/>
      <c r="G14" s="21"/>
      <c r="H14" s="21"/>
      <c r="I14" s="28" t="str">
        <f aca="false">IF(OR(G14="",H14=""),"",IF(MATCH(G14,{"Low","Medium","High"},0)*MATCH(H14,{"Low","Medium","High","Critical"},0)&gt;=9,"Critical",IF(MATCH(G14,{"Low","Medium","High"},0)*MATCH(H14,{"Low","Medium","High","Critical"},0)&gt;=6,"High",IF(MATCH(G14,{"Low","Medium","High"},0)*MATCH(H14,{"Low","Medium","High","Critical"},0)&gt;=3,"Medium","Low"))))</f>
        <v/>
      </c>
      <c r="J14" s="21"/>
      <c r="K14" s="21"/>
      <c r="L14" s="21" t="s">
        <v>658</v>
      </c>
      <c r="M14" s="21"/>
      <c r="N14" s="21"/>
      <c r="O14" s="21"/>
      <c r="P14" s="21"/>
      <c r="Q14" s="21"/>
      <c r="R14" s="21" t="s">
        <v>659</v>
      </c>
    </row>
    <row r="15" customFormat="false" ht="57.45" hidden="false" customHeight="false" outlineLevel="0" collapsed="false">
      <c r="A15" s="21" t="s">
        <v>687</v>
      </c>
      <c r="B15" s="21"/>
      <c r="C15" s="21" t="s">
        <v>688</v>
      </c>
      <c r="D15" s="21" t="s">
        <v>689</v>
      </c>
      <c r="E15" s="21"/>
      <c r="F15" s="21"/>
      <c r="G15" s="21"/>
      <c r="H15" s="21"/>
      <c r="I15" s="28" t="str">
        <f aca="false">IF(OR(G15="",H15=""),"",IF(MATCH(G15,{"Low","Medium","High"},0)*MATCH(H15,{"Low","Medium","High","Critical"},0)&gt;=9,"Critical",IF(MATCH(G15,{"Low","Medium","High"},0)*MATCH(H15,{"Low","Medium","High","Critical"},0)&gt;=6,"High",IF(MATCH(G15,{"Low","Medium","High"},0)*MATCH(H15,{"Low","Medium","High","Critical"},0)&gt;=3,"Medium","Low"))))</f>
        <v/>
      </c>
      <c r="J15" s="21"/>
      <c r="K15" s="21"/>
      <c r="L15" s="21" t="s">
        <v>658</v>
      </c>
      <c r="M15" s="21"/>
      <c r="N15" s="21"/>
      <c r="O15" s="21"/>
      <c r="P15" s="21"/>
      <c r="Q15" s="21"/>
      <c r="R15" s="21" t="s">
        <v>659</v>
      </c>
    </row>
    <row r="16" customFormat="false" ht="57.45" hidden="false" customHeight="false" outlineLevel="0" collapsed="false">
      <c r="A16" s="21" t="s">
        <v>690</v>
      </c>
      <c r="B16" s="21"/>
      <c r="C16" s="21" t="s">
        <v>691</v>
      </c>
      <c r="D16" s="21" t="s">
        <v>692</v>
      </c>
      <c r="E16" s="21"/>
      <c r="F16" s="21"/>
      <c r="G16" s="21"/>
      <c r="H16" s="21"/>
      <c r="I16" s="28" t="str">
        <f aca="false">IF(OR(G16="",H16=""),"",IF(MATCH(G16,{"Low","Medium","High"},0)*MATCH(H16,{"Low","Medium","High","Critical"},0)&gt;=9,"Critical",IF(MATCH(G16,{"Low","Medium","High"},0)*MATCH(H16,{"Low","Medium","High","Critical"},0)&gt;=6,"High",IF(MATCH(G16,{"Low","Medium","High"},0)*MATCH(H16,{"Low","Medium","High","Critical"},0)&gt;=3,"Medium","Low"))))</f>
        <v/>
      </c>
      <c r="J16" s="21"/>
      <c r="K16" s="21"/>
      <c r="L16" s="21" t="s">
        <v>658</v>
      </c>
      <c r="M16" s="21"/>
      <c r="N16" s="21"/>
      <c r="O16" s="21"/>
      <c r="P16" s="21"/>
      <c r="Q16" s="21"/>
      <c r="R16" s="21" t="s">
        <v>659</v>
      </c>
    </row>
    <row r="17" customFormat="false" ht="57.45" hidden="false" customHeight="false" outlineLevel="0" collapsed="false">
      <c r="A17" s="21" t="s">
        <v>693</v>
      </c>
      <c r="B17" s="21"/>
      <c r="C17" s="21" t="s">
        <v>694</v>
      </c>
      <c r="D17" s="21" t="s">
        <v>695</v>
      </c>
      <c r="E17" s="21"/>
      <c r="F17" s="21"/>
      <c r="G17" s="21"/>
      <c r="H17" s="21"/>
      <c r="I17" s="28" t="str">
        <f aca="false">IF(OR(G17="",H17=""),"",IF(MATCH(G17,{"Low","Medium","High"},0)*MATCH(H17,{"Low","Medium","High","Critical"},0)&gt;=9,"Critical",IF(MATCH(G17,{"Low","Medium","High"},0)*MATCH(H17,{"Low","Medium","High","Critical"},0)&gt;=6,"High",IF(MATCH(G17,{"Low","Medium","High"},0)*MATCH(H17,{"Low","Medium","High","Critical"},0)&gt;=3,"Medium","Low"))))</f>
        <v/>
      </c>
      <c r="J17" s="21"/>
      <c r="K17" s="21"/>
      <c r="L17" s="21" t="s">
        <v>658</v>
      </c>
      <c r="M17" s="21"/>
      <c r="N17" s="21"/>
      <c r="O17" s="21"/>
      <c r="P17" s="21"/>
      <c r="Q17" s="21"/>
      <c r="R17" s="21" t="s">
        <v>659</v>
      </c>
    </row>
    <row r="18" customFormat="false" ht="57.45" hidden="false" customHeight="false" outlineLevel="0" collapsed="false">
      <c r="A18" s="21" t="s">
        <v>696</v>
      </c>
      <c r="B18" s="21"/>
      <c r="C18" s="21" t="s">
        <v>697</v>
      </c>
      <c r="D18" s="21" t="s">
        <v>698</v>
      </c>
      <c r="E18" s="21"/>
      <c r="F18" s="21"/>
      <c r="G18" s="21"/>
      <c r="H18" s="21"/>
      <c r="I18" s="28" t="str">
        <f aca="false">IF(OR(G18="",H18=""),"",IF(MATCH(G18,{"Low","Medium","High"},0)*MATCH(H18,{"Low","Medium","High","Critical"},0)&gt;=9,"Critical",IF(MATCH(G18,{"Low","Medium","High"},0)*MATCH(H18,{"Low","Medium","High","Critical"},0)&gt;=6,"High",IF(MATCH(G18,{"Low","Medium","High"},0)*MATCH(H18,{"Low","Medium","High","Critical"},0)&gt;=3,"Medium","Low"))))</f>
        <v/>
      </c>
      <c r="J18" s="21"/>
      <c r="K18" s="21"/>
      <c r="L18" s="21" t="s">
        <v>658</v>
      </c>
      <c r="M18" s="21"/>
      <c r="N18" s="21"/>
      <c r="O18" s="21"/>
      <c r="P18" s="21"/>
      <c r="Q18" s="21"/>
      <c r="R18" s="21" t="s">
        <v>659</v>
      </c>
    </row>
    <row r="19" customFormat="false" ht="57.45" hidden="false" customHeight="false" outlineLevel="0" collapsed="false">
      <c r="A19" s="21" t="s">
        <v>699</v>
      </c>
      <c r="B19" s="21"/>
      <c r="C19" s="21" t="s">
        <v>700</v>
      </c>
      <c r="D19" s="21" t="s">
        <v>701</v>
      </c>
      <c r="E19" s="21"/>
      <c r="F19" s="21"/>
      <c r="G19" s="21"/>
      <c r="H19" s="21"/>
      <c r="I19" s="28" t="str">
        <f aca="false">IF(OR(G19="",H19=""),"",IF(MATCH(G19,{"Low","Medium","High"},0)*MATCH(H19,{"Low","Medium","High","Critical"},0)&gt;=9,"Critical",IF(MATCH(G19,{"Low","Medium","High"},0)*MATCH(H19,{"Low","Medium","High","Critical"},0)&gt;=6,"High",IF(MATCH(G19,{"Low","Medium","High"},0)*MATCH(H19,{"Low","Medium","High","Critical"},0)&gt;=3,"Medium","Low"))))</f>
        <v/>
      </c>
      <c r="J19" s="21"/>
      <c r="K19" s="21"/>
      <c r="L19" s="21" t="s">
        <v>658</v>
      </c>
      <c r="M19" s="21"/>
      <c r="N19" s="21"/>
      <c r="O19" s="21"/>
      <c r="P19" s="21"/>
      <c r="Q19" s="21"/>
      <c r="R19" s="21" t="s">
        <v>659</v>
      </c>
    </row>
    <row r="20" customFormat="false" ht="57.45" hidden="false" customHeight="false" outlineLevel="0" collapsed="false">
      <c r="A20" s="21" t="s">
        <v>702</v>
      </c>
      <c r="B20" s="21"/>
      <c r="C20" s="21" t="s">
        <v>703</v>
      </c>
      <c r="D20" s="21" t="s">
        <v>704</v>
      </c>
      <c r="E20" s="21"/>
      <c r="F20" s="21"/>
      <c r="G20" s="21"/>
      <c r="H20" s="21"/>
      <c r="I20" s="28" t="str">
        <f aca="false">IF(OR(G20="",H20=""),"",IF(MATCH(G20,{"Low","Medium","High"},0)*MATCH(H20,{"Low","Medium","High","Critical"},0)&gt;=9,"Critical",IF(MATCH(G20,{"Low","Medium","High"},0)*MATCH(H20,{"Low","Medium","High","Critical"},0)&gt;=6,"High",IF(MATCH(G20,{"Low","Medium","High"},0)*MATCH(H20,{"Low","Medium","High","Critical"},0)&gt;=3,"Medium","Low"))))</f>
        <v/>
      </c>
      <c r="J20" s="21"/>
      <c r="K20" s="21"/>
      <c r="L20" s="21" t="s">
        <v>658</v>
      </c>
      <c r="M20" s="21"/>
      <c r="N20" s="21"/>
      <c r="O20" s="21"/>
      <c r="P20" s="21"/>
      <c r="Q20" s="21"/>
      <c r="R20" s="21" t="s">
        <v>659</v>
      </c>
    </row>
    <row r="21" customFormat="false" ht="35.05" hidden="false" customHeight="false" outlineLevel="0" collapsed="false">
      <c r="A21" s="21" t="s">
        <v>705</v>
      </c>
      <c r="B21" s="21"/>
      <c r="C21" s="21" t="s">
        <v>268</v>
      </c>
      <c r="D21" s="21" t="s">
        <v>706</v>
      </c>
      <c r="E21" s="21" t="s">
        <v>707</v>
      </c>
      <c r="F21" s="21"/>
      <c r="G21" s="21" t="s">
        <v>264</v>
      </c>
      <c r="H21" s="21" t="s">
        <v>248</v>
      </c>
      <c r="I21" s="28" t="str">
        <f aca="false">IF(OR(G21="",H21=""),"",IF(MATCH(G21,{"Low","Medium","High"},0)*MATCH(H21,{"Low","Medium","High","Critical"},0)&gt;=9,"Critical",IF(MATCH(G21,{"Low","Medium","High"},0)*MATCH(H21,{"Low","Medium","High","Critical"},0)&gt;=6,"High",IF(MATCH(G21,{"Low","Medium","High"},0)*MATCH(H21,{"Low","Medium","High","Critical"},0)&gt;=3,"Medium","Low"))))</f>
        <v>High</v>
      </c>
      <c r="J21" s="21"/>
      <c r="K21" s="21" t="s">
        <v>708</v>
      </c>
      <c r="L21" s="21" t="s">
        <v>645</v>
      </c>
      <c r="M21" s="21"/>
      <c r="N21" s="21"/>
      <c r="O21" s="21" t="s">
        <v>352</v>
      </c>
      <c r="P21" s="21" t="s">
        <v>474</v>
      </c>
      <c r="Q21" s="21"/>
      <c r="R21" s="21" t="s">
        <v>252</v>
      </c>
    </row>
    <row r="22" customFormat="false" ht="15" hidden="false" customHeight="false" outlineLevel="0" collapsed="false">
      <c r="I22" s="11" t="str">
        <f aca="false">IF(OR(G22="",H22=""),"",IF(MATCH(G22,{"Low","Medium","High"},0)*MATCH(H22,{"Low","Medium","High","Critical"},0)&gt;=9,"Critical",IF(MATCH(G22,{"Low","Medium","High"},0)*MATCH(H22,{"Low","Medium","High","Critical"},0)&gt;=6,"High",IF(MATCH(G22,{"Low","Medium","High"},0)*MATCH(H22,{"Low","Medium","High","Critical"},0)&gt;=3,"Medium","Low"))))</f>
        <v/>
      </c>
    </row>
    <row r="23" customFormat="false" ht="15" hidden="false" customHeight="false" outlineLevel="0" collapsed="false">
      <c r="I23" s="11" t="str">
        <f aca="false">IF(OR(G23="",H23=""),"",IF(MATCH(G23,{"Low","Medium","High"},0)*MATCH(H23,{"Low","Medium","High","Critical"},0)&gt;=9,"Critical",IF(MATCH(G23,{"Low","Medium","High"},0)*MATCH(H23,{"Low","Medium","High","Critical"},0)&gt;=6,"High",IF(MATCH(G23,{"Low","Medium","High"},0)*MATCH(H23,{"Low","Medium","High","Critical"},0)&gt;=3,"Medium","Low"))))</f>
        <v/>
      </c>
    </row>
    <row r="24" customFormat="false" ht="15" hidden="false" customHeight="false" outlineLevel="0" collapsed="false">
      <c r="I24" s="11" t="str">
        <f aca="false">IF(OR(G24="",H24=""),"",IF(MATCH(G24,{"Low","Medium","High"},0)*MATCH(H24,{"Low","Medium","High","Critical"},0)&gt;=9,"Critical",IF(MATCH(G24,{"Low","Medium","High"},0)*MATCH(H24,{"Low","Medium","High","Critical"},0)&gt;=6,"High",IF(MATCH(G24,{"Low","Medium","High"},0)*MATCH(H24,{"Low","Medium","High","Critical"},0)&gt;=3,"Medium","Low"))))</f>
        <v/>
      </c>
    </row>
    <row r="25" customFormat="false" ht="15" hidden="false" customHeight="false" outlineLevel="0" collapsed="false">
      <c r="I25" s="11" t="str">
        <f aca="false">IF(OR(G25="",H25=""),"",IF(MATCH(G25,{"Low","Medium","High"},0)*MATCH(H25,{"Low","Medium","High","Critical"},0)&gt;=9,"Critical",IF(MATCH(G25,{"Low","Medium","High"},0)*MATCH(H25,{"Low","Medium","High","Critical"},0)&gt;=6,"High",IF(MATCH(G25,{"Low","Medium","High"},0)*MATCH(H25,{"Low","Medium","High","Critical"},0)&gt;=3,"Medium","Low"))))</f>
        <v/>
      </c>
    </row>
    <row r="26" customFormat="false" ht="15" hidden="false" customHeight="false" outlineLevel="0" collapsed="false">
      <c r="I26" s="11" t="str">
        <f aca="false">IF(OR(G26="",H26=""),"",IF(MATCH(G26,{"Low","Medium","High"},0)*MATCH(H26,{"Low","Medium","High","Critical"},0)&gt;=9,"Critical",IF(MATCH(G26,{"Low","Medium","High"},0)*MATCH(H26,{"Low","Medium","High","Critical"},0)&gt;=6,"High",IF(MATCH(G26,{"Low","Medium","High"},0)*MATCH(H26,{"Low","Medium","High","Critical"},0)&gt;=3,"Medium","Low"))))</f>
        <v/>
      </c>
    </row>
    <row r="27" customFormat="false" ht="15" hidden="false" customHeight="false" outlineLevel="0" collapsed="false">
      <c r="I27" s="11" t="str">
        <f aca="false">IF(OR(G27="",H27=""),"",IF(MATCH(G27,{"Low","Medium","High"},0)*MATCH(H27,{"Low","Medium","High","Critical"},0)&gt;=9,"Critical",IF(MATCH(G27,{"Low","Medium","High"},0)*MATCH(H27,{"Low","Medium","High","Critical"},0)&gt;=6,"High",IF(MATCH(G27,{"Low","Medium","High"},0)*MATCH(H27,{"Low","Medium","High","Critical"},0)&gt;=3,"Medium","Low"))))</f>
        <v/>
      </c>
    </row>
    <row r="28" customFormat="false" ht="15" hidden="false" customHeight="false" outlineLevel="0" collapsed="false">
      <c r="I28" s="11" t="str">
        <f aca="false">IF(OR(G28="",H28=""),"",IF(MATCH(G28,{"Low","Medium","High"},0)*MATCH(H28,{"Low","Medium","High","Critical"},0)&gt;=9,"Critical",IF(MATCH(G28,{"Low","Medium","High"},0)*MATCH(H28,{"Low","Medium","High","Critical"},0)&gt;=6,"High",IF(MATCH(G28,{"Low","Medium","High"},0)*MATCH(H28,{"Low","Medium","High","Critical"},0)&gt;=3,"Medium","Low"))))</f>
        <v/>
      </c>
    </row>
    <row r="29" customFormat="false" ht="15" hidden="false" customHeight="false" outlineLevel="0" collapsed="false">
      <c r="I29" s="11" t="str">
        <f aca="false">IF(OR(G29="",H29=""),"",IF(MATCH(G29,{"Low","Medium","High"},0)*MATCH(H29,{"Low","Medium","High","Critical"},0)&gt;=9,"Critical",IF(MATCH(G29,{"Low","Medium","High"},0)*MATCH(H29,{"Low","Medium","High","Critical"},0)&gt;=6,"High",IF(MATCH(G29,{"Low","Medium","High"},0)*MATCH(H29,{"Low","Medium","High","Critical"},0)&gt;=3,"Medium","Low"))))</f>
        <v/>
      </c>
    </row>
    <row r="30" customFormat="false" ht="15" hidden="false" customHeight="false" outlineLevel="0" collapsed="false">
      <c r="I30" s="11" t="str">
        <f aca="false">IF(OR(G30="",H30=""),"",IF(MATCH(G30,{"Low","Medium","High"},0)*MATCH(H30,{"Low","Medium","High","Critical"},0)&gt;=9,"Critical",IF(MATCH(G30,{"Low","Medium","High"},0)*MATCH(H30,{"Low","Medium","High","Critical"},0)&gt;=6,"High",IF(MATCH(G30,{"Low","Medium","High"},0)*MATCH(H30,{"Low","Medium","High","Critical"},0)&gt;=3,"Medium","Low"))))</f>
        <v/>
      </c>
    </row>
    <row r="31" customFormat="false" ht="15" hidden="false" customHeight="false" outlineLevel="0" collapsed="false">
      <c r="I31" s="11" t="str">
        <f aca="false">IF(OR(G31="",H31=""),"",IF(MATCH(G31,{"Low","Medium","High"},0)*MATCH(H31,{"Low","Medium","High","Critical"},0)&gt;=9,"Critical",IF(MATCH(G31,{"Low","Medium","High"},0)*MATCH(H31,{"Low","Medium","High","Critical"},0)&gt;=6,"High",IF(MATCH(G31,{"Low","Medium","High"},0)*MATCH(H31,{"Low","Medium","High","Critical"},0)&gt;=3,"Medium","Low"))))</f>
        <v/>
      </c>
    </row>
    <row r="32" customFormat="false" ht="15" hidden="false" customHeight="false" outlineLevel="0" collapsed="false">
      <c r="I32" s="11" t="str">
        <f aca="false">IF(OR(G32="",H32=""),"",IF(MATCH(G32,{"Low","Medium","High"},0)*MATCH(H32,{"Low","Medium","High","Critical"},0)&gt;=9,"Critical",IF(MATCH(G32,{"Low","Medium","High"},0)*MATCH(H32,{"Low","Medium","High","Critical"},0)&gt;=6,"High",IF(MATCH(G32,{"Low","Medium","High"},0)*MATCH(H32,{"Low","Medium","High","Critical"},0)&gt;=3,"Medium","Low"))))</f>
        <v/>
      </c>
    </row>
    <row r="33" customFormat="false" ht="15" hidden="false" customHeight="false" outlineLevel="0" collapsed="false">
      <c r="I33" s="11" t="str">
        <f aca="false">IF(OR(G33="",H33=""),"",IF(MATCH(G33,{"Low","Medium","High"},0)*MATCH(H33,{"Low","Medium","High","Critical"},0)&gt;=9,"Critical",IF(MATCH(G33,{"Low","Medium","High"},0)*MATCH(H33,{"Low","Medium","High","Critical"},0)&gt;=6,"High",IF(MATCH(G33,{"Low","Medium","High"},0)*MATCH(H33,{"Low","Medium","High","Critical"},0)&gt;=3,"Medium","Low"))))</f>
        <v/>
      </c>
    </row>
    <row r="34" customFormat="false" ht="15" hidden="false" customHeight="false" outlineLevel="0" collapsed="false">
      <c r="I34" s="11" t="str">
        <f aca="false">IF(OR(G34="",H34=""),"",IF(MATCH(G34,{"Low","Medium","High"},0)*MATCH(H34,{"Low","Medium","High","Critical"},0)&gt;=9,"Critical",IF(MATCH(G34,{"Low","Medium","High"},0)*MATCH(H34,{"Low","Medium","High","Critical"},0)&gt;=6,"High",IF(MATCH(G34,{"Low","Medium","High"},0)*MATCH(H34,{"Low","Medium","High","Critical"},0)&gt;=3,"Medium","Low"))))</f>
        <v/>
      </c>
    </row>
    <row r="35" customFormat="false" ht="15" hidden="false" customHeight="false" outlineLevel="0" collapsed="false">
      <c r="I35" s="11" t="str">
        <f aca="false">IF(OR(G35="",H35=""),"",IF(MATCH(G35,{"Low","Medium","High"},0)*MATCH(H35,{"Low","Medium","High","Critical"},0)&gt;=9,"Critical",IF(MATCH(G35,{"Low","Medium","High"},0)*MATCH(H35,{"Low","Medium","High","Critical"},0)&gt;=6,"High",IF(MATCH(G35,{"Low","Medium","High"},0)*MATCH(H35,{"Low","Medium","High","Critical"},0)&gt;=3,"Medium","Low"))))</f>
        <v/>
      </c>
    </row>
    <row r="36" customFormat="false" ht="15" hidden="false" customHeight="false" outlineLevel="0" collapsed="false">
      <c r="I36" s="11" t="str">
        <f aca="false">IF(OR(G36="",H36=""),"",IF(MATCH(G36,{"Low","Medium","High"},0)*MATCH(H36,{"Low","Medium","High","Critical"},0)&gt;=9,"Critical",IF(MATCH(G36,{"Low","Medium","High"},0)*MATCH(H36,{"Low","Medium","High","Critical"},0)&gt;=6,"High",IF(MATCH(G36,{"Low","Medium","High"},0)*MATCH(H36,{"Low","Medium","High","Critical"},0)&gt;=3,"Medium","Low"))))</f>
        <v/>
      </c>
    </row>
    <row r="37" customFormat="false" ht="15" hidden="false" customHeight="false" outlineLevel="0" collapsed="false">
      <c r="I37" s="11" t="str">
        <f aca="false">IF(OR(G37="",H37=""),"",IF(MATCH(G37,{"Low","Medium","High"},0)*MATCH(H37,{"Low","Medium","High","Critical"},0)&gt;=9,"Critical",IF(MATCH(G37,{"Low","Medium","High"},0)*MATCH(H37,{"Low","Medium","High","Critical"},0)&gt;=6,"High",IF(MATCH(G37,{"Low","Medium","High"},0)*MATCH(H37,{"Low","Medium","High","Critical"},0)&gt;=3,"Medium","Low"))))</f>
        <v/>
      </c>
    </row>
    <row r="38" customFormat="false" ht="15" hidden="false" customHeight="false" outlineLevel="0" collapsed="false">
      <c r="I38" s="11" t="str">
        <f aca="false">IF(OR(G38="",H38=""),"",IF(MATCH(G38,{"Low","Medium","High"},0)*MATCH(H38,{"Low","Medium","High","Critical"},0)&gt;=9,"Critical",IF(MATCH(G38,{"Low","Medium","High"},0)*MATCH(H38,{"Low","Medium","High","Critical"},0)&gt;=6,"High",IF(MATCH(G38,{"Low","Medium","High"},0)*MATCH(H38,{"Low","Medium","High","Critical"},0)&gt;=3,"Medium","Low"))))</f>
        <v/>
      </c>
    </row>
    <row r="39" customFormat="false" ht="15" hidden="false" customHeight="false" outlineLevel="0" collapsed="false">
      <c r="I39" s="11" t="str">
        <f aca="false">IF(OR(G39="",H39=""),"",IF(MATCH(G39,{"Low","Medium","High"},0)*MATCH(H39,{"Low","Medium","High","Critical"},0)&gt;=9,"Critical",IF(MATCH(G39,{"Low","Medium","High"},0)*MATCH(H39,{"Low","Medium","High","Critical"},0)&gt;=6,"High",IF(MATCH(G39,{"Low","Medium","High"},0)*MATCH(H39,{"Low","Medium","High","Critical"},0)&gt;=3,"Medium","Low"))))</f>
        <v/>
      </c>
    </row>
    <row r="40" customFormat="false" ht="15" hidden="false" customHeight="false" outlineLevel="0" collapsed="false">
      <c r="I40" s="11" t="str">
        <f aca="false">IF(OR(G40="",H40=""),"",IF(MATCH(G40,{"Low","Medium","High"},0)*MATCH(H40,{"Low","Medium","High","Critical"},0)&gt;=9,"Critical",IF(MATCH(G40,{"Low","Medium","High"},0)*MATCH(H40,{"Low","Medium","High","Critical"},0)&gt;=6,"High",IF(MATCH(G40,{"Low","Medium","High"},0)*MATCH(H40,{"Low","Medium","High","Critical"},0)&gt;=3,"Medium","Low"))))</f>
        <v/>
      </c>
    </row>
    <row r="41" customFormat="false" ht="15" hidden="false" customHeight="false" outlineLevel="0" collapsed="false">
      <c r="I41" s="11" t="str">
        <f aca="false">IF(OR(G41="",H41=""),"",IF(MATCH(G41,{"Low","Medium","High"},0)*MATCH(H41,{"Low","Medium","High","Critical"},0)&gt;=9,"Critical",IF(MATCH(G41,{"Low","Medium","High"},0)*MATCH(H41,{"Low","Medium","High","Critical"},0)&gt;=6,"High",IF(MATCH(G41,{"Low","Medium","High"},0)*MATCH(H41,{"Low","Medium","High","Critical"},0)&gt;=3,"Medium","Low"))))</f>
        <v/>
      </c>
    </row>
    <row r="42" customFormat="false" ht="15" hidden="false" customHeight="false" outlineLevel="0" collapsed="false">
      <c r="I42" s="11" t="str">
        <f aca="false">IF(OR(G42="",H42=""),"",IF(MATCH(G42,{"Low","Medium","High"},0)*MATCH(H42,{"Low","Medium","High","Critical"},0)&gt;=9,"Critical",IF(MATCH(G42,{"Low","Medium","High"},0)*MATCH(H42,{"Low","Medium","High","Critical"},0)&gt;=6,"High",IF(MATCH(G42,{"Low","Medium","High"},0)*MATCH(H42,{"Low","Medium","High","Critical"},0)&gt;=3,"Medium","Low"))))</f>
        <v/>
      </c>
    </row>
    <row r="43" customFormat="false" ht="15" hidden="false" customHeight="false" outlineLevel="0" collapsed="false">
      <c r="I43" s="11" t="str">
        <f aca="false">IF(OR(G43="",H43=""),"",IF(MATCH(G43,{"Low","Medium","High"},0)*MATCH(H43,{"Low","Medium","High","Critical"},0)&gt;=9,"Critical",IF(MATCH(G43,{"Low","Medium","High"},0)*MATCH(H43,{"Low","Medium","High","Critical"},0)&gt;=6,"High",IF(MATCH(G43,{"Low","Medium","High"},0)*MATCH(H43,{"Low","Medium","High","Critical"},0)&gt;=3,"Medium","Low"))))</f>
        <v/>
      </c>
    </row>
    <row r="44" customFormat="false" ht="15" hidden="false" customHeight="false" outlineLevel="0" collapsed="false">
      <c r="I44" s="11" t="str">
        <f aca="false">IF(OR(G44="",H44=""),"",IF(MATCH(G44,{"Low","Medium","High"},0)*MATCH(H44,{"Low","Medium","High","Critical"},0)&gt;=9,"Critical",IF(MATCH(G44,{"Low","Medium","High"},0)*MATCH(H44,{"Low","Medium","High","Critical"},0)&gt;=6,"High",IF(MATCH(G44,{"Low","Medium","High"},0)*MATCH(H44,{"Low","Medium","High","Critical"},0)&gt;=3,"Medium","Low"))))</f>
        <v/>
      </c>
    </row>
    <row r="45" customFormat="false" ht="15" hidden="false" customHeight="false" outlineLevel="0" collapsed="false">
      <c r="I45" s="11" t="str">
        <f aca="false">IF(OR(G45="",H45=""),"",IF(MATCH(G45,{"Low","Medium","High"},0)*MATCH(H45,{"Low","Medium","High","Critical"},0)&gt;=9,"Critical",IF(MATCH(G45,{"Low","Medium","High"},0)*MATCH(H45,{"Low","Medium","High","Critical"},0)&gt;=6,"High",IF(MATCH(G45,{"Low","Medium","High"},0)*MATCH(H45,{"Low","Medium","High","Critical"},0)&gt;=3,"Medium","Low"))))</f>
        <v/>
      </c>
    </row>
    <row r="46" customFormat="false" ht="15" hidden="false" customHeight="false" outlineLevel="0" collapsed="false">
      <c r="I46" s="11" t="str">
        <f aca="false">IF(OR(G46="",H46=""),"",IF(MATCH(G46,{"Low","Medium","High"},0)*MATCH(H46,{"Low","Medium","High","Critical"},0)&gt;=9,"Critical",IF(MATCH(G46,{"Low","Medium","High"},0)*MATCH(H46,{"Low","Medium","High","Critical"},0)&gt;=6,"High",IF(MATCH(G46,{"Low","Medium","High"},0)*MATCH(H46,{"Low","Medium","High","Critical"},0)&gt;=3,"Medium","Low"))))</f>
        <v/>
      </c>
    </row>
    <row r="47" customFormat="false" ht="15" hidden="false" customHeight="false" outlineLevel="0" collapsed="false">
      <c r="I47" s="11" t="str">
        <f aca="false">IF(OR(G47="",H47=""),"",IF(MATCH(G47,{"Low","Medium","High"},0)*MATCH(H47,{"Low","Medium","High","Critical"},0)&gt;=9,"Critical",IF(MATCH(G47,{"Low","Medium","High"},0)*MATCH(H47,{"Low","Medium","High","Critical"},0)&gt;=6,"High",IF(MATCH(G47,{"Low","Medium","High"},0)*MATCH(H47,{"Low","Medium","High","Critical"},0)&gt;=3,"Medium","Low"))))</f>
        <v/>
      </c>
    </row>
    <row r="48" customFormat="false" ht="15" hidden="false" customHeight="false" outlineLevel="0" collapsed="false">
      <c r="I48" s="11" t="str">
        <f aca="false">IF(OR(G48="",H48=""),"",IF(MATCH(G48,{"Low","Medium","High"},0)*MATCH(H48,{"Low","Medium","High","Critical"},0)&gt;=9,"Critical",IF(MATCH(G48,{"Low","Medium","High"},0)*MATCH(H48,{"Low","Medium","High","Critical"},0)&gt;=6,"High",IF(MATCH(G48,{"Low","Medium","High"},0)*MATCH(H48,{"Low","Medium","High","Critical"},0)&gt;=3,"Medium","Low"))))</f>
        <v/>
      </c>
    </row>
    <row r="49" customFormat="false" ht="15" hidden="false" customHeight="false" outlineLevel="0" collapsed="false">
      <c r="I49" s="11" t="str">
        <f aca="false">IF(OR(G49="",H49=""),"",IF(MATCH(G49,{"Low","Medium","High"},0)*MATCH(H49,{"Low","Medium","High","Critical"},0)&gt;=9,"Critical",IF(MATCH(G49,{"Low","Medium","High"},0)*MATCH(H49,{"Low","Medium","High","Critical"},0)&gt;=6,"High",IF(MATCH(G49,{"Low","Medium","High"},0)*MATCH(H49,{"Low","Medium","High","Critical"},0)&gt;=3,"Medium","Low"))))</f>
        <v/>
      </c>
    </row>
    <row r="50" customFormat="false" ht="15" hidden="false" customHeight="false" outlineLevel="0" collapsed="false">
      <c r="I50" s="11" t="str">
        <f aca="false">IF(OR(G50="",H50=""),"",IF(MATCH(G50,{"Low","Medium","High"},0)*MATCH(H50,{"Low","Medium","High","Critical"},0)&gt;=9,"Critical",IF(MATCH(G50,{"Low","Medium","High"},0)*MATCH(H50,{"Low","Medium","High","Critical"},0)&gt;=6,"High",IF(MATCH(G50,{"Low","Medium","High"},0)*MATCH(H50,{"Low","Medium","High","Critical"},0)&gt;=3,"Medium","Low"))))</f>
        <v/>
      </c>
    </row>
    <row r="51" customFormat="false" ht="15" hidden="false" customHeight="false" outlineLevel="0" collapsed="false">
      <c r="I51" s="11" t="str">
        <f aca="false">IF(OR(G51="",H51=""),"",IF(MATCH(G51,{"Low","Medium","High"},0)*MATCH(H51,{"Low","Medium","High","Critical"},0)&gt;=9,"Critical",IF(MATCH(G51,{"Low","Medium","High"},0)*MATCH(H51,{"Low","Medium","High","Critical"},0)&gt;=6,"High",IF(MATCH(G51,{"Low","Medium","High"},0)*MATCH(H51,{"Low","Medium","High","Critical"},0)&gt;=3,"Medium","Low"))))</f>
        <v/>
      </c>
    </row>
    <row r="52" customFormat="false" ht="15" hidden="false" customHeight="false" outlineLevel="0" collapsed="false">
      <c r="I52" s="11" t="str">
        <f aca="false">IF(OR(G52="",H52=""),"",IF(MATCH(G52,{"Low","Medium","High"},0)*MATCH(H52,{"Low","Medium","High","Critical"},0)&gt;=9,"Critical",IF(MATCH(G52,{"Low","Medium","High"},0)*MATCH(H52,{"Low","Medium","High","Critical"},0)&gt;=6,"High",IF(MATCH(G52,{"Low","Medium","High"},0)*MATCH(H52,{"Low","Medium","High","Critical"},0)&gt;=3,"Medium","Low"))))</f>
        <v/>
      </c>
    </row>
    <row r="53" customFormat="false" ht="15" hidden="false" customHeight="false" outlineLevel="0" collapsed="false">
      <c r="I53" s="11" t="str">
        <f aca="false">IF(OR(G53="",H53=""),"",IF(MATCH(G53,{"Low","Medium","High"},0)*MATCH(H53,{"Low","Medium","High","Critical"},0)&gt;=9,"Critical",IF(MATCH(G53,{"Low","Medium","High"},0)*MATCH(H53,{"Low","Medium","High","Critical"},0)&gt;=6,"High",IF(MATCH(G53,{"Low","Medium","High"},0)*MATCH(H53,{"Low","Medium","High","Critical"},0)&gt;=3,"Medium","Low"))))</f>
        <v/>
      </c>
    </row>
    <row r="54" customFormat="false" ht="15" hidden="false" customHeight="false" outlineLevel="0" collapsed="false">
      <c r="I54" s="11" t="str">
        <f aca="false">IF(OR(G54="",H54=""),"",IF(MATCH(G54,{"Low","Medium","High"},0)*MATCH(H54,{"Low","Medium","High","Critical"},0)&gt;=9,"Critical",IF(MATCH(G54,{"Low","Medium","High"},0)*MATCH(H54,{"Low","Medium","High","Critical"},0)&gt;=6,"High",IF(MATCH(G54,{"Low","Medium","High"},0)*MATCH(H54,{"Low","Medium","High","Critical"},0)&gt;=3,"Medium","Low"))))</f>
        <v/>
      </c>
    </row>
    <row r="55" customFormat="false" ht="15" hidden="false" customHeight="false" outlineLevel="0" collapsed="false">
      <c r="I55" s="11" t="str">
        <f aca="false">IF(OR(G55="",H55=""),"",IF(MATCH(G55,{"Low","Medium","High"},0)*MATCH(H55,{"Low","Medium","High","Critical"},0)&gt;=9,"Critical",IF(MATCH(G55,{"Low","Medium","High"},0)*MATCH(H55,{"Low","Medium","High","Critical"},0)&gt;=6,"High",IF(MATCH(G55,{"Low","Medium","High"},0)*MATCH(H55,{"Low","Medium","High","Critical"},0)&gt;=3,"Medium","Low"))))</f>
        <v/>
      </c>
    </row>
    <row r="56" customFormat="false" ht="15" hidden="false" customHeight="false" outlineLevel="0" collapsed="false">
      <c r="I56" s="11" t="str">
        <f aca="false">IF(OR(G56="",H56=""),"",IF(MATCH(G56,{"Low","Medium","High"},0)*MATCH(H56,{"Low","Medium","High","Critical"},0)&gt;=9,"Critical",IF(MATCH(G56,{"Low","Medium","High"},0)*MATCH(H56,{"Low","Medium","High","Critical"},0)&gt;=6,"High",IF(MATCH(G56,{"Low","Medium","High"},0)*MATCH(H56,{"Low","Medium","High","Critical"},0)&gt;=3,"Medium","Low"))))</f>
        <v/>
      </c>
    </row>
    <row r="57" customFormat="false" ht="15" hidden="false" customHeight="false" outlineLevel="0" collapsed="false">
      <c r="I57" s="11" t="str">
        <f aca="false">IF(OR(G57="",H57=""),"",IF(MATCH(G57,{"Low","Medium","High"},0)*MATCH(H57,{"Low","Medium","High","Critical"},0)&gt;=9,"Critical",IF(MATCH(G57,{"Low","Medium","High"},0)*MATCH(H57,{"Low","Medium","High","Critical"},0)&gt;=6,"High",IF(MATCH(G57,{"Low","Medium","High"},0)*MATCH(H57,{"Low","Medium","High","Critical"},0)&gt;=3,"Medium","Low"))))</f>
        <v/>
      </c>
    </row>
    <row r="58" customFormat="false" ht="15" hidden="false" customHeight="false" outlineLevel="0" collapsed="false">
      <c r="I58" s="11" t="str">
        <f aca="false">IF(OR(G58="",H58=""),"",IF(MATCH(G58,{"Low","Medium","High"},0)*MATCH(H58,{"Low","Medium","High","Critical"},0)&gt;=9,"Critical",IF(MATCH(G58,{"Low","Medium","High"},0)*MATCH(H58,{"Low","Medium","High","Critical"},0)&gt;=6,"High",IF(MATCH(G58,{"Low","Medium","High"},0)*MATCH(H58,{"Low","Medium","High","Critical"},0)&gt;=3,"Medium","Low"))))</f>
        <v/>
      </c>
    </row>
    <row r="59" customFormat="false" ht="15" hidden="false" customHeight="false" outlineLevel="0" collapsed="false">
      <c r="I59" s="11" t="str">
        <f aca="false">IF(OR(G59="",H59=""),"",IF(MATCH(G59,{"Low","Medium","High"},0)*MATCH(H59,{"Low","Medium","High","Critical"},0)&gt;=9,"Critical",IF(MATCH(G59,{"Low","Medium","High"},0)*MATCH(H59,{"Low","Medium","High","Critical"},0)&gt;=6,"High",IF(MATCH(G59,{"Low","Medium","High"},0)*MATCH(H59,{"Low","Medium","High","Critical"},0)&gt;=3,"Medium","Low"))))</f>
        <v/>
      </c>
    </row>
    <row r="60" customFormat="false" ht="15" hidden="false" customHeight="false" outlineLevel="0" collapsed="false">
      <c r="I60" s="11" t="str">
        <f aca="false">IF(OR(G60="",H60=""),"",IF(MATCH(G60,{"Low","Medium","High"},0)*MATCH(H60,{"Low","Medium","High","Critical"},0)&gt;=9,"Critical",IF(MATCH(G60,{"Low","Medium","High"},0)*MATCH(H60,{"Low","Medium","High","Critical"},0)&gt;=6,"High",IF(MATCH(G60,{"Low","Medium","High"},0)*MATCH(H60,{"Low","Medium","High","Critical"},0)&gt;=3,"Medium","Low"))))</f>
        <v/>
      </c>
    </row>
    <row r="61" customFormat="false" ht="15" hidden="false" customHeight="false" outlineLevel="0" collapsed="false">
      <c r="I61" s="11" t="str">
        <f aca="false">IF(OR(G61="",H61=""),"",IF(MATCH(G61,{"Low","Medium","High"},0)*MATCH(H61,{"Low","Medium","High","Critical"},0)&gt;=9,"Critical",IF(MATCH(G61,{"Low","Medium","High"},0)*MATCH(H61,{"Low","Medium","High","Critical"},0)&gt;=6,"High",IF(MATCH(G61,{"Low","Medium","High"},0)*MATCH(H61,{"Low","Medium","High","Critical"},0)&gt;=3,"Medium","Low"))))</f>
        <v/>
      </c>
    </row>
    <row r="62" customFormat="false" ht="15" hidden="false" customHeight="false" outlineLevel="0" collapsed="false">
      <c r="I62" s="11" t="str">
        <f aca="false">IF(OR(G62="",H62=""),"",IF(MATCH(G62,{"Low","Medium","High"},0)*MATCH(H62,{"Low","Medium","High","Critical"},0)&gt;=9,"Critical",IF(MATCH(G62,{"Low","Medium","High"},0)*MATCH(H62,{"Low","Medium","High","Critical"},0)&gt;=6,"High",IF(MATCH(G62,{"Low","Medium","High"},0)*MATCH(H62,{"Low","Medium","High","Critical"},0)&gt;=3,"Medium","Low"))))</f>
        <v/>
      </c>
    </row>
    <row r="63" customFormat="false" ht="15" hidden="false" customHeight="false" outlineLevel="0" collapsed="false">
      <c r="I63" s="11" t="str">
        <f aca="false">IF(OR(G63="",H63=""),"",IF(MATCH(G63,{"Low","Medium","High"},0)*MATCH(H63,{"Low","Medium","High","Critical"},0)&gt;=9,"Critical",IF(MATCH(G63,{"Low","Medium","High"},0)*MATCH(H63,{"Low","Medium","High","Critical"},0)&gt;=6,"High",IF(MATCH(G63,{"Low","Medium","High"},0)*MATCH(H63,{"Low","Medium","High","Critical"},0)&gt;=3,"Medium","Low"))))</f>
        <v/>
      </c>
    </row>
    <row r="64" customFormat="false" ht="15" hidden="false" customHeight="false" outlineLevel="0" collapsed="false">
      <c r="I64" s="11" t="str">
        <f aca="false">IF(OR(G64="",H64=""),"",IF(MATCH(G64,{"Low","Medium","High"},0)*MATCH(H64,{"Low","Medium","High","Critical"},0)&gt;=9,"Critical",IF(MATCH(G64,{"Low","Medium","High"},0)*MATCH(H64,{"Low","Medium","High","Critical"},0)&gt;=6,"High",IF(MATCH(G64,{"Low","Medium","High"},0)*MATCH(H64,{"Low","Medium","High","Critical"},0)&gt;=3,"Medium","Low"))))</f>
        <v/>
      </c>
    </row>
    <row r="65" customFormat="false" ht="15" hidden="false" customHeight="false" outlineLevel="0" collapsed="false">
      <c r="I65" s="11" t="str">
        <f aca="false">IF(OR(G65="",H65=""),"",IF(MATCH(G65,{"Low","Medium","High"},0)*MATCH(H65,{"Low","Medium","High","Critical"},0)&gt;=9,"Critical",IF(MATCH(G65,{"Low","Medium","High"},0)*MATCH(H65,{"Low","Medium","High","Critical"},0)&gt;=6,"High",IF(MATCH(G65,{"Low","Medium","High"},0)*MATCH(H65,{"Low","Medium","High","Critical"},0)&gt;=3,"Medium","Low"))))</f>
        <v/>
      </c>
    </row>
    <row r="66" customFormat="false" ht="15" hidden="false" customHeight="false" outlineLevel="0" collapsed="false">
      <c r="I66" s="11" t="str">
        <f aca="false">IF(OR(G66="",H66=""),"",IF(MATCH(G66,{"Low","Medium","High"},0)*MATCH(H66,{"Low","Medium","High","Critical"},0)&gt;=9,"Critical",IF(MATCH(G66,{"Low","Medium","High"},0)*MATCH(H66,{"Low","Medium","High","Critical"},0)&gt;=6,"High",IF(MATCH(G66,{"Low","Medium","High"},0)*MATCH(H66,{"Low","Medium","High","Critical"},0)&gt;=3,"Medium","Low"))))</f>
        <v/>
      </c>
    </row>
    <row r="67" customFormat="false" ht="15" hidden="false" customHeight="false" outlineLevel="0" collapsed="false">
      <c r="I67" s="11" t="str">
        <f aca="false">IF(OR(G67="",H67=""),"",IF(MATCH(G67,{"Low","Medium","High"},0)*MATCH(H67,{"Low","Medium","High","Critical"},0)&gt;=9,"Critical",IF(MATCH(G67,{"Low","Medium","High"},0)*MATCH(H67,{"Low","Medium","High","Critical"},0)&gt;=6,"High",IF(MATCH(G67,{"Low","Medium","High"},0)*MATCH(H67,{"Low","Medium","High","Critical"},0)&gt;=3,"Medium","Low"))))</f>
        <v/>
      </c>
    </row>
    <row r="68" customFormat="false" ht="15" hidden="false" customHeight="false" outlineLevel="0" collapsed="false">
      <c r="I68" s="11" t="str">
        <f aca="false">IF(OR(G68="",H68=""),"",IF(MATCH(G68,{"Low","Medium","High"},0)*MATCH(H68,{"Low","Medium","High","Critical"},0)&gt;=9,"Critical",IF(MATCH(G68,{"Low","Medium","High"},0)*MATCH(H68,{"Low","Medium","High","Critical"},0)&gt;=6,"High",IF(MATCH(G68,{"Low","Medium","High"},0)*MATCH(H68,{"Low","Medium","High","Critical"},0)&gt;=3,"Medium","Low"))))</f>
        <v/>
      </c>
    </row>
    <row r="69" customFormat="false" ht="15" hidden="false" customHeight="false" outlineLevel="0" collapsed="false">
      <c r="I69" s="11" t="str">
        <f aca="false">IF(OR(G69="",H69=""),"",IF(MATCH(G69,{"Low","Medium","High"},0)*MATCH(H69,{"Low","Medium","High","Critical"},0)&gt;=9,"Critical",IF(MATCH(G69,{"Low","Medium","High"},0)*MATCH(H69,{"Low","Medium","High","Critical"},0)&gt;=6,"High",IF(MATCH(G69,{"Low","Medium","High"},0)*MATCH(H69,{"Low","Medium","High","Critical"},0)&gt;=3,"Medium","Low"))))</f>
        <v/>
      </c>
    </row>
    <row r="70" customFormat="false" ht="15" hidden="false" customHeight="false" outlineLevel="0" collapsed="false">
      <c r="I70" s="11" t="str">
        <f aca="false">IF(OR(G70="",H70=""),"",IF(MATCH(G70,{"Low","Medium","High"},0)*MATCH(H70,{"Low","Medium","High","Critical"},0)&gt;=9,"Critical",IF(MATCH(G70,{"Low","Medium","High"},0)*MATCH(H70,{"Low","Medium","High","Critical"},0)&gt;=6,"High",IF(MATCH(G70,{"Low","Medium","High"},0)*MATCH(H70,{"Low","Medium","High","Critical"},0)&gt;=3,"Medium","Low"))))</f>
        <v/>
      </c>
    </row>
    <row r="71" customFormat="false" ht="15" hidden="false" customHeight="false" outlineLevel="0" collapsed="false">
      <c r="I71" s="11" t="str">
        <f aca="false">IF(OR(G71="",H71=""),"",IF(MATCH(G71,{"Low","Medium","High"},0)*MATCH(H71,{"Low","Medium","High","Critical"},0)&gt;=9,"Critical",IF(MATCH(G71,{"Low","Medium","High"},0)*MATCH(H71,{"Low","Medium","High","Critical"},0)&gt;=6,"High",IF(MATCH(G71,{"Low","Medium","High"},0)*MATCH(H71,{"Low","Medium","High","Critical"},0)&gt;=3,"Medium","Low"))))</f>
        <v/>
      </c>
    </row>
    <row r="72" customFormat="false" ht="15" hidden="false" customHeight="false" outlineLevel="0" collapsed="false">
      <c r="I72" s="11" t="str">
        <f aca="false">IF(OR(G72="",H72=""),"",IF(MATCH(G72,{"Low","Medium","High"},0)*MATCH(H72,{"Low","Medium","High","Critical"},0)&gt;=9,"Critical",IF(MATCH(G72,{"Low","Medium","High"},0)*MATCH(H72,{"Low","Medium","High","Critical"},0)&gt;=6,"High",IF(MATCH(G72,{"Low","Medium","High"},0)*MATCH(H72,{"Low","Medium","High","Critical"},0)&gt;=3,"Medium","Low"))))</f>
        <v/>
      </c>
    </row>
    <row r="73" customFormat="false" ht="15" hidden="false" customHeight="false" outlineLevel="0" collapsed="false">
      <c r="I73" s="11" t="str">
        <f aca="false">IF(OR(G73="",H73=""),"",IF(MATCH(G73,{"Low","Medium","High"},0)*MATCH(H73,{"Low","Medium","High","Critical"},0)&gt;=9,"Critical",IF(MATCH(G73,{"Low","Medium","High"},0)*MATCH(H73,{"Low","Medium","High","Critical"},0)&gt;=6,"High",IF(MATCH(G73,{"Low","Medium","High"},0)*MATCH(H73,{"Low","Medium","High","Critical"},0)&gt;=3,"Medium","Low"))))</f>
        <v/>
      </c>
    </row>
    <row r="74" customFormat="false" ht="15" hidden="false" customHeight="false" outlineLevel="0" collapsed="false">
      <c r="I74" s="11" t="str">
        <f aca="false">IF(OR(G74="",H74=""),"",IF(MATCH(G74,{"Low","Medium","High"},0)*MATCH(H74,{"Low","Medium","High","Critical"},0)&gt;=9,"Critical",IF(MATCH(G74,{"Low","Medium","High"},0)*MATCH(H74,{"Low","Medium","High","Critical"},0)&gt;=6,"High",IF(MATCH(G74,{"Low","Medium","High"},0)*MATCH(H74,{"Low","Medium","High","Critical"},0)&gt;=3,"Medium","Low"))))</f>
        <v/>
      </c>
    </row>
    <row r="75" customFormat="false" ht="15" hidden="false" customHeight="false" outlineLevel="0" collapsed="false">
      <c r="I75" s="11" t="str">
        <f aca="false">IF(OR(G75="",H75=""),"",IF(MATCH(G75,{"Low","Medium","High"},0)*MATCH(H75,{"Low","Medium","High","Critical"},0)&gt;=9,"Critical",IF(MATCH(G75,{"Low","Medium","High"},0)*MATCH(H75,{"Low","Medium","High","Critical"},0)&gt;=6,"High",IF(MATCH(G75,{"Low","Medium","High"},0)*MATCH(H75,{"Low","Medium","High","Critical"},0)&gt;=3,"Medium","Low"))))</f>
        <v/>
      </c>
    </row>
    <row r="76" customFormat="false" ht="15" hidden="false" customHeight="false" outlineLevel="0" collapsed="false">
      <c r="I76" s="11" t="str">
        <f aca="false">IF(OR(G76="",H76=""),"",IF(MATCH(G76,{"Low","Medium","High"},0)*MATCH(H76,{"Low","Medium","High","Critical"},0)&gt;=9,"Critical",IF(MATCH(G76,{"Low","Medium","High"},0)*MATCH(H76,{"Low","Medium","High","Critical"},0)&gt;=6,"High",IF(MATCH(G76,{"Low","Medium","High"},0)*MATCH(H76,{"Low","Medium","High","Critical"},0)&gt;=3,"Medium","Low"))))</f>
        <v/>
      </c>
    </row>
    <row r="77" customFormat="false" ht="15" hidden="false" customHeight="false" outlineLevel="0" collapsed="false">
      <c r="I77" s="11" t="str">
        <f aca="false">IF(OR(G77="",H77=""),"",IF(MATCH(G77,{"Low","Medium","High"},0)*MATCH(H77,{"Low","Medium","High","Critical"},0)&gt;=9,"Critical",IF(MATCH(G77,{"Low","Medium","High"},0)*MATCH(H77,{"Low","Medium","High","Critical"},0)&gt;=6,"High",IF(MATCH(G77,{"Low","Medium","High"},0)*MATCH(H77,{"Low","Medium","High","Critical"},0)&gt;=3,"Medium","Low"))))</f>
        <v/>
      </c>
    </row>
    <row r="78" customFormat="false" ht="15" hidden="false" customHeight="false" outlineLevel="0" collapsed="false">
      <c r="I78" s="11" t="str">
        <f aca="false">IF(OR(G78="",H78=""),"",IF(MATCH(G78,{"Low","Medium","High"},0)*MATCH(H78,{"Low","Medium","High","Critical"},0)&gt;=9,"Critical",IF(MATCH(G78,{"Low","Medium","High"},0)*MATCH(H78,{"Low","Medium","High","Critical"},0)&gt;=6,"High",IF(MATCH(G78,{"Low","Medium","High"},0)*MATCH(H78,{"Low","Medium","High","Critical"},0)&gt;=3,"Medium","Low"))))</f>
        <v/>
      </c>
    </row>
    <row r="79" customFormat="false" ht="15" hidden="false" customHeight="false" outlineLevel="0" collapsed="false">
      <c r="I79" s="11" t="str">
        <f aca="false">IF(OR(G79="",H79=""),"",IF(MATCH(G79,{"Low","Medium","High"},0)*MATCH(H79,{"Low","Medium","High","Critical"},0)&gt;=9,"Critical",IF(MATCH(G79,{"Low","Medium","High"},0)*MATCH(H79,{"Low","Medium","High","Critical"},0)&gt;=6,"High",IF(MATCH(G79,{"Low","Medium","High"},0)*MATCH(H79,{"Low","Medium","High","Critical"},0)&gt;=3,"Medium","Low"))))</f>
        <v/>
      </c>
    </row>
    <row r="80" customFormat="false" ht="15" hidden="false" customHeight="false" outlineLevel="0" collapsed="false">
      <c r="I80" s="11" t="str">
        <f aca="false">IF(OR(G80="",H80=""),"",IF(MATCH(G80,{"Low","Medium","High"},0)*MATCH(H80,{"Low","Medium","High","Critical"},0)&gt;=9,"Critical",IF(MATCH(G80,{"Low","Medium","High"},0)*MATCH(H80,{"Low","Medium","High","Critical"},0)&gt;=6,"High",IF(MATCH(G80,{"Low","Medium","High"},0)*MATCH(H80,{"Low","Medium","High","Critical"},0)&gt;=3,"Medium","Low"))))</f>
        <v/>
      </c>
    </row>
    <row r="81" customFormat="false" ht="15" hidden="false" customHeight="false" outlineLevel="0" collapsed="false">
      <c r="I81" s="11" t="str">
        <f aca="false">IF(OR(G81="",H81=""),"",IF(MATCH(G81,{"Low","Medium","High"},0)*MATCH(H81,{"Low","Medium","High","Critical"},0)&gt;=9,"Critical",IF(MATCH(G81,{"Low","Medium","High"},0)*MATCH(H81,{"Low","Medium","High","Critical"},0)&gt;=6,"High",IF(MATCH(G81,{"Low","Medium","High"},0)*MATCH(H81,{"Low","Medium","High","Critical"},0)&gt;=3,"Medium","Low"))))</f>
        <v/>
      </c>
    </row>
    <row r="82" customFormat="false" ht="15" hidden="false" customHeight="false" outlineLevel="0" collapsed="false">
      <c r="I82" s="11" t="str">
        <f aca="false">IF(OR(G82="",H82=""),"",IF(MATCH(G82,{"Low","Medium","High"},0)*MATCH(H82,{"Low","Medium","High","Critical"},0)&gt;=9,"Critical",IF(MATCH(G82,{"Low","Medium","High"},0)*MATCH(H82,{"Low","Medium","High","Critical"},0)&gt;=6,"High",IF(MATCH(G82,{"Low","Medium","High"},0)*MATCH(H82,{"Low","Medium","High","Critical"},0)&gt;=3,"Medium","Low"))))</f>
        <v/>
      </c>
    </row>
    <row r="83" customFormat="false" ht="15" hidden="false" customHeight="false" outlineLevel="0" collapsed="false">
      <c r="I83" s="11" t="str">
        <f aca="false">IF(OR(G83="",H83=""),"",IF(MATCH(G83,{"Low","Medium","High"},0)*MATCH(H83,{"Low","Medium","High","Critical"},0)&gt;=9,"Critical",IF(MATCH(G83,{"Low","Medium","High"},0)*MATCH(H83,{"Low","Medium","High","Critical"},0)&gt;=6,"High",IF(MATCH(G83,{"Low","Medium","High"},0)*MATCH(H83,{"Low","Medium","High","Critical"},0)&gt;=3,"Medium","Low"))))</f>
        <v/>
      </c>
    </row>
    <row r="84" customFormat="false" ht="15" hidden="false" customHeight="false" outlineLevel="0" collapsed="false">
      <c r="I84" s="11" t="str">
        <f aca="false">IF(OR(G84="",H84=""),"",IF(MATCH(G84,{"Low","Medium","High"},0)*MATCH(H84,{"Low","Medium","High","Critical"},0)&gt;=9,"Critical",IF(MATCH(G84,{"Low","Medium","High"},0)*MATCH(H84,{"Low","Medium","High","Critical"},0)&gt;=6,"High",IF(MATCH(G84,{"Low","Medium","High"},0)*MATCH(H84,{"Low","Medium","High","Critical"},0)&gt;=3,"Medium","Low"))))</f>
        <v/>
      </c>
    </row>
    <row r="85" customFormat="false" ht="15" hidden="false" customHeight="false" outlineLevel="0" collapsed="false">
      <c r="I85" s="11" t="str">
        <f aca="false">IF(OR(G85="",H85=""),"",IF(MATCH(G85,{"Low","Medium","High"},0)*MATCH(H85,{"Low","Medium","High","Critical"},0)&gt;=9,"Critical",IF(MATCH(G85,{"Low","Medium","High"},0)*MATCH(H85,{"Low","Medium","High","Critical"},0)&gt;=6,"High",IF(MATCH(G85,{"Low","Medium","High"},0)*MATCH(H85,{"Low","Medium","High","Critical"},0)&gt;=3,"Medium","Low"))))</f>
        <v/>
      </c>
    </row>
    <row r="86" customFormat="false" ht="15" hidden="false" customHeight="false" outlineLevel="0" collapsed="false">
      <c r="I86" s="11" t="str">
        <f aca="false">IF(OR(G86="",H86=""),"",IF(MATCH(G86,{"Low","Medium","High"},0)*MATCH(H86,{"Low","Medium","High","Critical"},0)&gt;=9,"Critical",IF(MATCH(G86,{"Low","Medium","High"},0)*MATCH(H86,{"Low","Medium","High","Critical"},0)&gt;=6,"High",IF(MATCH(G86,{"Low","Medium","High"},0)*MATCH(H86,{"Low","Medium","High","Critical"},0)&gt;=3,"Medium","Low"))))</f>
        <v/>
      </c>
    </row>
    <row r="87" customFormat="false" ht="15" hidden="false" customHeight="false" outlineLevel="0" collapsed="false">
      <c r="I87" s="11" t="str">
        <f aca="false">IF(OR(G87="",H87=""),"",IF(MATCH(G87,{"Low","Medium","High"},0)*MATCH(H87,{"Low","Medium","High","Critical"},0)&gt;=9,"Critical",IF(MATCH(G87,{"Low","Medium","High"},0)*MATCH(H87,{"Low","Medium","High","Critical"},0)&gt;=6,"High",IF(MATCH(G87,{"Low","Medium","High"},0)*MATCH(H87,{"Low","Medium","High","Critical"},0)&gt;=3,"Medium","Low"))))</f>
        <v/>
      </c>
    </row>
    <row r="88" customFormat="false" ht="15" hidden="false" customHeight="false" outlineLevel="0" collapsed="false">
      <c r="I88" s="11" t="str">
        <f aca="false">IF(OR(G88="",H88=""),"",IF(MATCH(G88,{"Low","Medium","High"},0)*MATCH(H88,{"Low","Medium","High","Critical"},0)&gt;=9,"Critical",IF(MATCH(G88,{"Low","Medium","High"},0)*MATCH(H88,{"Low","Medium","High","Critical"},0)&gt;=6,"High",IF(MATCH(G88,{"Low","Medium","High"},0)*MATCH(H88,{"Low","Medium","High","Critical"},0)&gt;=3,"Medium","Low"))))</f>
        <v/>
      </c>
    </row>
    <row r="89" customFormat="false" ht="15" hidden="false" customHeight="false" outlineLevel="0" collapsed="false">
      <c r="I89" s="11" t="str">
        <f aca="false">IF(OR(G89="",H89=""),"",IF(MATCH(G89,{"Low","Medium","High"},0)*MATCH(H89,{"Low","Medium","High","Critical"},0)&gt;=9,"Critical",IF(MATCH(G89,{"Low","Medium","High"},0)*MATCH(H89,{"Low","Medium","High","Critical"},0)&gt;=6,"High",IF(MATCH(G89,{"Low","Medium","High"},0)*MATCH(H89,{"Low","Medium","High","Critical"},0)&gt;=3,"Medium","Low"))))</f>
        <v/>
      </c>
    </row>
    <row r="90" customFormat="false" ht="15" hidden="false" customHeight="false" outlineLevel="0" collapsed="false">
      <c r="I90" s="11" t="str">
        <f aca="false">IF(OR(G90="",H90=""),"",IF(MATCH(G90,{"Low","Medium","High"},0)*MATCH(H90,{"Low","Medium","High","Critical"},0)&gt;=9,"Critical",IF(MATCH(G90,{"Low","Medium","High"},0)*MATCH(H90,{"Low","Medium","High","Critical"},0)&gt;=6,"High",IF(MATCH(G90,{"Low","Medium","High"},0)*MATCH(H90,{"Low","Medium","High","Critical"},0)&gt;=3,"Medium","Low"))))</f>
        <v/>
      </c>
    </row>
    <row r="91" customFormat="false" ht="15" hidden="false" customHeight="false" outlineLevel="0" collapsed="false">
      <c r="I91" s="11" t="str">
        <f aca="false">IF(OR(G91="",H91=""),"",IF(MATCH(G91,{"Low","Medium","High"},0)*MATCH(H91,{"Low","Medium","High","Critical"},0)&gt;=9,"Critical",IF(MATCH(G91,{"Low","Medium","High"},0)*MATCH(H91,{"Low","Medium","High","Critical"},0)&gt;=6,"High",IF(MATCH(G91,{"Low","Medium","High"},0)*MATCH(H91,{"Low","Medium","High","Critical"},0)&gt;=3,"Medium","Low"))))</f>
        <v/>
      </c>
    </row>
    <row r="92" customFormat="false" ht="15" hidden="false" customHeight="false" outlineLevel="0" collapsed="false">
      <c r="I92" s="11" t="str">
        <f aca="false">IF(OR(G92="",H92=""),"",IF(MATCH(G92,{"Low","Medium","High"},0)*MATCH(H92,{"Low","Medium","High","Critical"},0)&gt;=9,"Critical",IF(MATCH(G92,{"Low","Medium","High"},0)*MATCH(H92,{"Low","Medium","High","Critical"},0)&gt;=6,"High",IF(MATCH(G92,{"Low","Medium","High"},0)*MATCH(H92,{"Low","Medium","High","Critical"},0)&gt;=3,"Medium","Low"))))</f>
        <v/>
      </c>
    </row>
    <row r="93" customFormat="false" ht="15" hidden="false" customHeight="false" outlineLevel="0" collapsed="false">
      <c r="I93" s="11" t="str">
        <f aca="false">IF(OR(G93="",H93=""),"",IF(MATCH(G93,{"Low","Medium","High"},0)*MATCH(H93,{"Low","Medium","High","Critical"},0)&gt;=9,"Critical",IF(MATCH(G93,{"Low","Medium","High"},0)*MATCH(H93,{"Low","Medium","High","Critical"},0)&gt;=6,"High",IF(MATCH(G93,{"Low","Medium","High"},0)*MATCH(H93,{"Low","Medium","High","Critical"},0)&gt;=3,"Medium","Low"))))</f>
        <v/>
      </c>
    </row>
    <row r="94" customFormat="false" ht="15" hidden="false" customHeight="false" outlineLevel="0" collapsed="false">
      <c r="I94" s="11" t="str">
        <f aca="false">IF(OR(G94="",H94=""),"",IF(MATCH(G94,{"Low","Medium","High"},0)*MATCH(H94,{"Low","Medium","High","Critical"},0)&gt;=9,"Critical",IF(MATCH(G94,{"Low","Medium","High"},0)*MATCH(H94,{"Low","Medium","High","Critical"},0)&gt;=6,"High",IF(MATCH(G94,{"Low","Medium","High"},0)*MATCH(H94,{"Low","Medium","High","Critical"},0)&gt;=3,"Medium","Low"))))</f>
        <v/>
      </c>
    </row>
    <row r="95" customFormat="false" ht="15" hidden="false" customHeight="false" outlineLevel="0" collapsed="false">
      <c r="I95" s="11" t="str">
        <f aca="false">IF(OR(G95="",H95=""),"",IF(MATCH(G95,{"Low","Medium","High"},0)*MATCH(H95,{"Low","Medium","High","Critical"},0)&gt;=9,"Critical",IF(MATCH(G95,{"Low","Medium","High"},0)*MATCH(H95,{"Low","Medium","High","Critical"},0)&gt;=6,"High",IF(MATCH(G95,{"Low","Medium","High"},0)*MATCH(H95,{"Low","Medium","High","Critical"},0)&gt;=3,"Medium","Low"))))</f>
        <v/>
      </c>
    </row>
    <row r="96" customFormat="false" ht="15" hidden="false" customHeight="false" outlineLevel="0" collapsed="false">
      <c r="I96" s="11" t="str">
        <f aca="false">IF(OR(G96="",H96=""),"",IF(MATCH(G96,{"Low","Medium","High"},0)*MATCH(H96,{"Low","Medium","High","Critical"},0)&gt;=9,"Critical",IF(MATCH(G96,{"Low","Medium","High"},0)*MATCH(H96,{"Low","Medium","High","Critical"},0)&gt;=6,"High",IF(MATCH(G96,{"Low","Medium","High"},0)*MATCH(H96,{"Low","Medium","High","Critical"},0)&gt;=3,"Medium","Low"))))</f>
        <v/>
      </c>
    </row>
    <row r="97" customFormat="false" ht="15" hidden="false" customHeight="false" outlineLevel="0" collapsed="false">
      <c r="I97" s="11" t="str">
        <f aca="false">IF(OR(G97="",H97=""),"",IF(MATCH(G97,{"Low","Medium","High"},0)*MATCH(H97,{"Low","Medium","High","Critical"},0)&gt;=9,"Critical",IF(MATCH(G97,{"Low","Medium","High"},0)*MATCH(H97,{"Low","Medium","High","Critical"},0)&gt;=6,"High",IF(MATCH(G97,{"Low","Medium","High"},0)*MATCH(H97,{"Low","Medium","High","Critical"},0)&gt;=3,"Medium","Low"))))</f>
        <v/>
      </c>
    </row>
    <row r="98" customFormat="false" ht="15" hidden="false" customHeight="false" outlineLevel="0" collapsed="false">
      <c r="I98" s="11" t="str">
        <f aca="false">IF(OR(G98="",H98=""),"",IF(MATCH(G98,{"Low","Medium","High"},0)*MATCH(H98,{"Low","Medium","High","Critical"},0)&gt;=9,"Critical",IF(MATCH(G98,{"Low","Medium","High"},0)*MATCH(H98,{"Low","Medium","High","Critical"},0)&gt;=6,"High",IF(MATCH(G98,{"Low","Medium","High"},0)*MATCH(H98,{"Low","Medium","High","Critical"},0)&gt;=3,"Medium","Low"))))</f>
        <v/>
      </c>
    </row>
    <row r="99" customFormat="false" ht="15" hidden="false" customHeight="false" outlineLevel="0" collapsed="false">
      <c r="I99" s="11" t="str">
        <f aca="false">IF(OR(G99="",H99=""),"",IF(MATCH(G99,{"Low","Medium","High"},0)*MATCH(H99,{"Low","Medium","High","Critical"},0)&gt;=9,"Critical",IF(MATCH(G99,{"Low","Medium","High"},0)*MATCH(H99,{"Low","Medium","High","Critical"},0)&gt;=6,"High",IF(MATCH(G99,{"Low","Medium","High"},0)*MATCH(H99,{"Low","Medium","High","Critical"},0)&gt;=3,"Medium","Low"))))</f>
        <v/>
      </c>
    </row>
    <row r="100" customFormat="false" ht="15" hidden="false" customHeight="false" outlineLevel="0" collapsed="false">
      <c r="I100" s="11" t="str">
        <f aca="false">IF(OR(G100="",H100=""),"",IF(MATCH(G100,{"Low","Medium","High"},0)*MATCH(H100,{"Low","Medium","High","Critical"},0)&gt;=9,"Critical",IF(MATCH(G100,{"Low","Medium","High"},0)*MATCH(H100,{"Low","Medium","High","Critical"},0)&gt;=6,"High",IF(MATCH(G100,{"Low","Medium","High"},0)*MATCH(H100,{"Low","Medium","High","Critical"},0)&gt;=3,"Medium","Low"))))</f>
        <v/>
      </c>
    </row>
    <row r="101" customFormat="false" ht="15" hidden="false" customHeight="false" outlineLevel="0" collapsed="false">
      <c r="I101" s="11" t="str">
        <f aca="false">IF(OR(G101="",H101=""),"",IF(MATCH(G101,{"Low","Medium","High"},0)*MATCH(H101,{"Low","Medium","High","Critical"},0)&gt;=9,"Critical",IF(MATCH(G101,{"Low","Medium","High"},0)*MATCH(H101,{"Low","Medium","High","Critical"},0)&gt;=6,"High",IF(MATCH(G101,{"Low","Medium","High"},0)*MATCH(H101,{"Low","Medium","High","Critical"},0)&gt;=3,"Medium","Low"))))</f>
        <v/>
      </c>
    </row>
    <row r="102" customFormat="false" ht="15" hidden="false" customHeight="false" outlineLevel="0" collapsed="false">
      <c r="I102" s="11" t="str">
        <f aca="false">IF(OR(G102="",H102=""),"",IF(MATCH(G102,{"Low","Medium","High"},0)*MATCH(H102,{"Low","Medium","High","Critical"},0)&gt;=9,"Critical",IF(MATCH(G102,{"Low","Medium","High"},0)*MATCH(H102,{"Low","Medium","High","Critical"},0)&gt;=6,"High",IF(MATCH(G102,{"Low","Medium","High"},0)*MATCH(H102,{"Low","Medium","High","Critical"},0)&gt;=3,"Medium","Low"))))</f>
        <v/>
      </c>
    </row>
    <row r="103" customFormat="false" ht="15" hidden="false" customHeight="false" outlineLevel="0" collapsed="false">
      <c r="I103" s="11" t="str">
        <f aca="false">IF(OR(G103="",H103=""),"",IF(MATCH(G103,{"Low","Medium","High"},0)*MATCH(H103,{"Low","Medium","High","Critical"},0)&gt;=9,"Critical",IF(MATCH(G103,{"Low","Medium","High"},0)*MATCH(H103,{"Low","Medium","High","Critical"},0)&gt;=6,"High",IF(MATCH(G103,{"Low","Medium","High"},0)*MATCH(H103,{"Low","Medium","High","Critical"},0)&gt;=3,"Medium","Low"))))</f>
        <v/>
      </c>
    </row>
    <row r="104" customFormat="false" ht="15" hidden="false" customHeight="false" outlineLevel="0" collapsed="false">
      <c r="I104" s="11" t="str">
        <f aca="false">IF(OR(G104="",H104=""),"",IF(MATCH(G104,{"Low","Medium","High"},0)*MATCH(H104,{"Low","Medium","High","Critical"},0)&gt;=9,"Critical",IF(MATCH(G104,{"Low","Medium","High"},0)*MATCH(H104,{"Low","Medium","High","Critical"},0)&gt;=6,"High",IF(MATCH(G104,{"Low","Medium","High"},0)*MATCH(H104,{"Low","Medium","High","Critical"},0)&gt;=3,"Medium","Low"))))</f>
        <v/>
      </c>
    </row>
    <row r="105" customFormat="false" ht="15" hidden="false" customHeight="false" outlineLevel="0" collapsed="false">
      <c r="I105" s="11" t="str">
        <f aca="false">IF(OR(G105="",H105=""),"",IF(MATCH(G105,{"Low","Medium","High"},0)*MATCH(H105,{"Low","Medium","High","Critical"},0)&gt;=9,"Critical",IF(MATCH(G105,{"Low","Medium","High"},0)*MATCH(H105,{"Low","Medium","High","Critical"},0)&gt;=6,"High",IF(MATCH(G105,{"Low","Medium","High"},0)*MATCH(H105,{"Low","Medium","High","Critical"},0)&gt;=3,"Medium","Low"))))</f>
        <v/>
      </c>
    </row>
    <row r="106" customFormat="false" ht="15" hidden="false" customHeight="false" outlineLevel="0" collapsed="false">
      <c r="I106" s="11" t="str">
        <f aca="false">IF(OR(G106="",H106=""),"",IF(MATCH(G106,{"Low","Medium","High"},0)*MATCH(H106,{"Low","Medium","High","Critical"},0)&gt;=9,"Critical",IF(MATCH(G106,{"Low","Medium","High"},0)*MATCH(H106,{"Low","Medium","High","Critical"},0)&gt;=6,"High",IF(MATCH(G106,{"Low","Medium","High"},0)*MATCH(H106,{"Low","Medium","High","Critical"},0)&gt;=3,"Medium","Low"))))</f>
        <v/>
      </c>
    </row>
    <row r="107" customFormat="false" ht="15" hidden="false" customHeight="false" outlineLevel="0" collapsed="false">
      <c r="I107" s="11" t="str">
        <f aca="false">IF(OR(G107="",H107=""),"",IF(MATCH(G107,{"Low","Medium","High"},0)*MATCH(H107,{"Low","Medium","High","Critical"},0)&gt;=9,"Critical",IF(MATCH(G107,{"Low","Medium","High"},0)*MATCH(H107,{"Low","Medium","High","Critical"},0)&gt;=6,"High",IF(MATCH(G107,{"Low","Medium","High"},0)*MATCH(H107,{"Low","Medium","High","Critical"},0)&gt;=3,"Medium","Low"))))</f>
        <v/>
      </c>
    </row>
    <row r="108" customFormat="false" ht="15" hidden="false" customHeight="false" outlineLevel="0" collapsed="false">
      <c r="I108" s="11" t="str">
        <f aca="false">IF(OR(G108="",H108=""),"",IF(MATCH(G108,{"Low","Medium","High"},0)*MATCH(H108,{"Low","Medium","High","Critical"},0)&gt;=9,"Critical",IF(MATCH(G108,{"Low","Medium","High"},0)*MATCH(H108,{"Low","Medium","High","Critical"},0)&gt;=6,"High",IF(MATCH(G108,{"Low","Medium","High"},0)*MATCH(H108,{"Low","Medium","High","Critical"},0)&gt;=3,"Medium","Low"))))</f>
        <v/>
      </c>
    </row>
    <row r="109" customFormat="false" ht="15" hidden="false" customHeight="false" outlineLevel="0" collapsed="false">
      <c r="I109" s="11" t="str">
        <f aca="false">IF(OR(G109="",H109=""),"",IF(MATCH(G109,{"Low","Medium","High"},0)*MATCH(H109,{"Low","Medium","High","Critical"},0)&gt;=9,"Critical",IF(MATCH(G109,{"Low","Medium","High"},0)*MATCH(H109,{"Low","Medium","High","Critical"},0)&gt;=6,"High",IF(MATCH(G109,{"Low","Medium","High"},0)*MATCH(H109,{"Low","Medium","High","Critical"},0)&gt;=3,"Medium","Low"))))</f>
        <v/>
      </c>
    </row>
    <row r="110" customFormat="false" ht="15" hidden="false" customHeight="false" outlineLevel="0" collapsed="false">
      <c r="I110" s="11" t="str">
        <f aca="false">IF(OR(G110="",H110=""),"",IF(MATCH(G110,{"Low","Medium","High"},0)*MATCH(H110,{"Low","Medium","High","Critical"},0)&gt;=9,"Critical",IF(MATCH(G110,{"Low","Medium","High"},0)*MATCH(H110,{"Low","Medium","High","Critical"},0)&gt;=6,"High",IF(MATCH(G110,{"Low","Medium","High"},0)*MATCH(H110,{"Low","Medium","High","Critical"},0)&gt;=3,"Medium","Low"))))</f>
        <v/>
      </c>
    </row>
    <row r="111" customFormat="false" ht="15" hidden="false" customHeight="false" outlineLevel="0" collapsed="false">
      <c r="I111" s="11" t="str">
        <f aca="false">IF(OR(G111="",H111=""),"",IF(MATCH(G111,{"Low","Medium","High"},0)*MATCH(H111,{"Low","Medium","High","Critical"},0)&gt;=9,"Critical",IF(MATCH(G111,{"Low","Medium","High"},0)*MATCH(H111,{"Low","Medium","High","Critical"},0)&gt;=6,"High",IF(MATCH(G111,{"Low","Medium","High"},0)*MATCH(H111,{"Low","Medium","High","Critical"},0)&gt;=3,"Medium","Low"))))</f>
        <v/>
      </c>
    </row>
    <row r="112" customFormat="false" ht="15" hidden="false" customHeight="false" outlineLevel="0" collapsed="false">
      <c r="I112" s="11" t="str">
        <f aca="false">IF(OR(G112="",H112=""),"",IF(MATCH(G112,{"Low","Medium","High"},0)*MATCH(H112,{"Low","Medium","High","Critical"},0)&gt;=9,"Critical",IF(MATCH(G112,{"Low","Medium","High"},0)*MATCH(H112,{"Low","Medium","High","Critical"},0)&gt;=6,"High",IF(MATCH(G112,{"Low","Medium","High"},0)*MATCH(H112,{"Low","Medium","High","Critical"},0)&gt;=3,"Medium","Low"))))</f>
        <v/>
      </c>
    </row>
    <row r="113" customFormat="false" ht="15" hidden="false" customHeight="false" outlineLevel="0" collapsed="false">
      <c r="I113" s="11" t="str">
        <f aca="false">IF(OR(G113="",H113=""),"",IF(MATCH(G113,{"Low","Medium","High"},0)*MATCH(H113,{"Low","Medium","High","Critical"},0)&gt;=9,"Critical",IF(MATCH(G113,{"Low","Medium","High"},0)*MATCH(H113,{"Low","Medium","High","Critical"},0)&gt;=6,"High",IF(MATCH(G113,{"Low","Medium","High"},0)*MATCH(H113,{"Low","Medium","High","Critical"},0)&gt;=3,"Medium","Low"))))</f>
        <v/>
      </c>
    </row>
    <row r="114" customFormat="false" ht="15" hidden="false" customHeight="false" outlineLevel="0" collapsed="false">
      <c r="I114" s="11" t="str">
        <f aca="false">IF(OR(G114="",H114=""),"",IF(MATCH(G114,{"Low","Medium","High"},0)*MATCH(H114,{"Low","Medium","High","Critical"},0)&gt;=9,"Critical",IF(MATCH(G114,{"Low","Medium","High"},0)*MATCH(H114,{"Low","Medium","High","Critical"},0)&gt;=6,"High",IF(MATCH(G114,{"Low","Medium","High"},0)*MATCH(H114,{"Low","Medium","High","Critical"},0)&gt;=3,"Medium","Low"))))</f>
        <v/>
      </c>
    </row>
    <row r="115" customFormat="false" ht="15" hidden="false" customHeight="false" outlineLevel="0" collapsed="false">
      <c r="I115" s="11" t="str">
        <f aca="false">IF(OR(G115="",H115=""),"",IF(MATCH(G115,{"Low","Medium","High"},0)*MATCH(H115,{"Low","Medium","High","Critical"},0)&gt;=9,"Critical",IF(MATCH(G115,{"Low","Medium","High"},0)*MATCH(H115,{"Low","Medium","High","Critical"},0)&gt;=6,"High",IF(MATCH(G115,{"Low","Medium","High"},0)*MATCH(H115,{"Low","Medium","High","Critical"},0)&gt;=3,"Medium","Low"))))</f>
        <v/>
      </c>
    </row>
    <row r="116" customFormat="false" ht="15" hidden="false" customHeight="false" outlineLevel="0" collapsed="false">
      <c r="I116" s="11" t="str">
        <f aca="false">IF(OR(G116="",H116=""),"",IF(MATCH(G116,{"Low","Medium","High"},0)*MATCH(H116,{"Low","Medium","High","Critical"},0)&gt;=9,"Critical",IF(MATCH(G116,{"Low","Medium","High"},0)*MATCH(H116,{"Low","Medium","High","Critical"},0)&gt;=6,"High",IF(MATCH(G116,{"Low","Medium","High"},0)*MATCH(H116,{"Low","Medium","High","Critical"},0)&gt;=3,"Medium","Low"))))</f>
        <v/>
      </c>
    </row>
    <row r="117" customFormat="false" ht="15" hidden="false" customHeight="false" outlineLevel="0" collapsed="false">
      <c r="I117" s="11" t="str">
        <f aca="false">IF(OR(G117="",H117=""),"",IF(MATCH(G117,{"Low","Medium","High"},0)*MATCH(H117,{"Low","Medium","High","Critical"},0)&gt;=9,"Critical",IF(MATCH(G117,{"Low","Medium","High"},0)*MATCH(H117,{"Low","Medium","High","Critical"},0)&gt;=6,"High",IF(MATCH(G117,{"Low","Medium","High"},0)*MATCH(H117,{"Low","Medium","High","Critical"},0)&gt;=3,"Medium","Low"))))</f>
        <v/>
      </c>
    </row>
    <row r="118" customFormat="false" ht="15" hidden="false" customHeight="false" outlineLevel="0" collapsed="false">
      <c r="I118" s="11" t="str">
        <f aca="false">IF(OR(G118="",H118=""),"",IF(MATCH(G118,{"Low","Medium","High"},0)*MATCH(H118,{"Low","Medium","High","Critical"},0)&gt;=9,"Critical",IF(MATCH(G118,{"Low","Medium","High"},0)*MATCH(H118,{"Low","Medium","High","Critical"},0)&gt;=6,"High",IF(MATCH(G118,{"Low","Medium","High"},0)*MATCH(H118,{"Low","Medium","High","Critical"},0)&gt;=3,"Medium","Low"))))</f>
        <v/>
      </c>
    </row>
    <row r="119" customFormat="false" ht="15" hidden="false" customHeight="false" outlineLevel="0" collapsed="false">
      <c r="I119" s="11" t="str">
        <f aca="false">IF(OR(G119="",H119=""),"",IF(MATCH(G119,{"Low","Medium","High"},0)*MATCH(H119,{"Low","Medium","High","Critical"},0)&gt;=9,"Critical",IF(MATCH(G119,{"Low","Medium","High"},0)*MATCH(H119,{"Low","Medium","High","Critical"},0)&gt;=6,"High",IF(MATCH(G119,{"Low","Medium","High"},0)*MATCH(H119,{"Low","Medium","High","Critical"},0)&gt;=3,"Medium","Low"))))</f>
        <v/>
      </c>
    </row>
    <row r="120" customFormat="false" ht="15" hidden="false" customHeight="false" outlineLevel="0" collapsed="false">
      <c r="I120" s="11" t="str">
        <f aca="false">IF(OR(G120="",H120=""),"",IF(MATCH(G120,{"Low","Medium","High"},0)*MATCH(H120,{"Low","Medium","High","Critical"},0)&gt;=9,"Critical",IF(MATCH(G120,{"Low","Medium","High"},0)*MATCH(H120,{"Low","Medium","High","Critical"},0)&gt;=6,"High",IF(MATCH(G120,{"Low","Medium","High"},0)*MATCH(H120,{"Low","Medium","High","Critical"},0)&gt;=3,"Medium","Low"))))</f>
        <v/>
      </c>
    </row>
    <row r="121" customFormat="false" ht="15" hidden="false" customHeight="false" outlineLevel="0" collapsed="false">
      <c r="I121" s="11" t="str">
        <f aca="false">IF(OR(G121="",H121=""),"",IF(MATCH(G121,{"Low","Medium","High"},0)*MATCH(H121,{"Low","Medium","High","Critical"},0)&gt;=9,"Critical",IF(MATCH(G121,{"Low","Medium","High"},0)*MATCH(H121,{"Low","Medium","High","Critical"},0)&gt;=6,"High",IF(MATCH(G121,{"Low","Medium","High"},0)*MATCH(H121,{"Low","Medium","High","Critical"},0)&gt;=3,"Medium","Low"))))</f>
        <v/>
      </c>
    </row>
    <row r="122" customFormat="false" ht="15" hidden="false" customHeight="false" outlineLevel="0" collapsed="false">
      <c r="I122" s="11" t="str">
        <f aca="false">IF(OR(G122="",H122=""),"",IF(MATCH(G122,{"Low","Medium","High"},0)*MATCH(H122,{"Low","Medium","High","Critical"},0)&gt;=9,"Critical",IF(MATCH(G122,{"Low","Medium","High"},0)*MATCH(H122,{"Low","Medium","High","Critical"},0)&gt;=6,"High",IF(MATCH(G122,{"Low","Medium","High"},0)*MATCH(H122,{"Low","Medium","High","Critical"},0)&gt;=3,"Medium","Low"))))</f>
        <v/>
      </c>
    </row>
    <row r="123" customFormat="false" ht="15" hidden="false" customHeight="false" outlineLevel="0" collapsed="false">
      <c r="I123" s="11" t="str">
        <f aca="false">IF(OR(G123="",H123=""),"",IF(MATCH(G123,{"Low","Medium","High"},0)*MATCH(H123,{"Low","Medium","High","Critical"},0)&gt;=9,"Critical",IF(MATCH(G123,{"Low","Medium","High"},0)*MATCH(H123,{"Low","Medium","High","Critical"},0)&gt;=6,"High",IF(MATCH(G123,{"Low","Medium","High"},0)*MATCH(H123,{"Low","Medium","High","Critical"},0)&gt;=3,"Medium","Low"))))</f>
        <v/>
      </c>
    </row>
    <row r="124" customFormat="false" ht="15" hidden="false" customHeight="false" outlineLevel="0" collapsed="false">
      <c r="I124" s="11" t="str">
        <f aca="false">IF(OR(G124="",H124=""),"",IF(MATCH(G124,{"Low","Medium","High"},0)*MATCH(H124,{"Low","Medium","High","Critical"},0)&gt;=9,"Critical",IF(MATCH(G124,{"Low","Medium","High"},0)*MATCH(H124,{"Low","Medium","High","Critical"},0)&gt;=6,"High",IF(MATCH(G124,{"Low","Medium","High"},0)*MATCH(H124,{"Low","Medium","High","Critical"},0)&gt;=3,"Medium","Low"))))</f>
        <v/>
      </c>
    </row>
    <row r="125" customFormat="false" ht="15" hidden="false" customHeight="false" outlineLevel="0" collapsed="false">
      <c r="I125" s="11" t="str">
        <f aca="false">IF(OR(G125="",H125=""),"",IF(MATCH(G125,{"Low","Medium","High"},0)*MATCH(H125,{"Low","Medium","High","Critical"},0)&gt;=9,"Critical",IF(MATCH(G125,{"Low","Medium","High"},0)*MATCH(H125,{"Low","Medium","High","Critical"},0)&gt;=6,"High",IF(MATCH(G125,{"Low","Medium","High"},0)*MATCH(H125,{"Low","Medium","High","Critical"},0)&gt;=3,"Medium","Low"))))</f>
        <v/>
      </c>
    </row>
    <row r="126" customFormat="false" ht="15" hidden="false" customHeight="false" outlineLevel="0" collapsed="false">
      <c r="I126" s="11" t="str">
        <f aca="false">IF(OR(G126="",H126=""),"",IF(MATCH(G126,{"Low","Medium","High"},0)*MATCH(H126,{"Low","Medium","High","Critical"},0)&gt;=9,"Critical",IF(MATCH(G126,{"Low","Medium","High"},0)*MATCH(H126,{"Low","Medium","High","Critical"},0)&gt;=6,"High",IF(MATCH(G126,{"Low","Medium","High"},0)*MATCH(H126,{"Low","Medium","High","Critical"},0)&gt;=3,"Medium","Low"))))</f>
        <v/>
      </c>
    </row>
    <row r="127" customFormat="false" ht="15" hidden="false" customHeight="false" outlineLevel="0" collapsed="false">
      <c r="I127" s="11" t="str">
        <f aca="false">IF(OR(G127="",H127=""),"",IF(MATCH(G127,{"Low","Medium","High"},0)*MATCH(H127,{"Low","Medium","High","Critical"},0)&gt;=9,"Critical",IF(MATCH(G127,{"Low","Medium","High"},0)*MATCH(H127,{"Low","Medium","High","Critical"},0)&gt;=6,"High",IF(MATCH(G127,{"Low","Medium","High"},0)*MATCH(H127,{"Low","Medium","High","Critical"},0)&gt;=3,"Medium","Low"))))</f>
        <v/>
      </c>
    </row>
    <row r="128" customFormat="false" ht="15" hidden="false" customHeight="false" outlineLevel="0" collapsed="false">
      <c r="I128" s="11" t="str">
        <f aca="false">IF(OR(G128="",H128=""),"",IF(MATCH(G128,{"Low","Medium","High"},0)*MATCH(H128,{"Low","Medium","High","Critical"},0)&gt;=9,"Critical",IF(MATCH(G128,{"Low","Medium","High"},0)*MATCH(H128,{"Low","Medium","High","Critical"},0)&gt;=6,"High",IF(MATCH(G128,{"Low","Medium","High"},0)*MATCH(H128,{"Low","Medium","High","Critical"},0)&gt;=3,"Medium","Low"))))</f>
        <v/>
      </c>
    </row>
    <row r="129" customFormat="false" ht="15" hidden="false" customHeight="false" outlineLevel="0" collapsed="false">
      <c r="I129" s="11" t="str">
        <f aca="false">IF(OR(G129="",H129=""),"",IF(MATCH(G129,{"Low","Medium","High"},0)*MATCH(H129,{"Low","Medium","High","Critical"},0)&gt;=9,"Critical",IF(MATCH(G129,{"Low","Medium","High"},0)*MATCH(H129,{"Low","Medium","High","Critical"},0)&gt;=6,"High",IF(MATCH(G129,{"Low","Medium","High"},0)*MATCH(H129,{"Low","Medium","High","Critical"},0)&gt;=3,"Medium","Low"))))</f>
        <v/>
      </c>
    </row>
    <row r="130" customFormat="false" ht="15" hidden="false" customHeight="false" outlineLevel="0" collapsed="false">
      <c r="I130" s="11" t="str">
        <f aca="false">IF(OR(G130="",H130=""),"",IF(MATCH(G130,{"Low","Medium","High"},0)*MATCH(H130,{"Low","Medium","High","Critical"},0)&gt;=9,"Critical",IF(MATCH(G130,{"Low","Medium","High"},0)*MATCH(H130,{"Low","Medium","High","Critical"},0)&gt;=6,"High",IF(MATCH(G130,{"Low","Medium","High"},0)*MATCH(H130,{"Low","Medium","High","Critical"},0)&gt;=3,"Medium","Low"))))</f>
        <v/>
      </c>
    </row>
    <row r="131" customFormat="false" ht="15" hidden="false" customHeight="false" outlineLevel="0" collapsed="false">
      <c r="I131" s="11" t="str">
        <f aca="false">IF(OR(G131="",H131=""),"",IF(MATCH(G131,{"Low","Medium","High"},0)*MATCH(H131,{"Low","Medium","High","Critical"},0)&gt;=9,"Critical",IF(MATCH(G131,{"Low","Medium","High"},0)*MATCH(H131,{"Low","Medium","High","Critical"},0)&gt;=6,"High",IF(MATCH(G131,{"Low","Medium","High"},0)*MATCH(H131,{"Low","Medium","High","Critical"},0)&gt;=3,"Medium","Low"))))</f>
        <v/>
      </c>
    </row>
    <row r="132" customFormat="false" ht="15" hidden="false" customHeight="false" outlineLevel="0" collapsed="false">
      <c r="I132" s="11" t="str">
        <f aca="false">IF(OR(G132="",H132=""),"",IF(MATCH(G132,{"Low","Medium","High"},0)*MATCH(H132,{"Low","Medium","High","Critical"},0)&gt;=9,"Critical",IF(MATCH(G132,{"Low","Medium","High"},0)*MATCH(H132,{"Low","Medium","High","Critical"},0)&gt;=6,"High",IF(MATCH(G132,{"Low","Medium","High"},0)*MATCH(H132,{"Low","Medium","High","Critical"},0)&gt;=3,"Medium","Low"))))</f>
        <v/>
      </c>
    </row>
    <row r="133" customFormat="false" ht="15" hidden="false" customHeight="false" outlineLevel="0" collapsed="false">
      <c r="I133" s="11" t="str">
        <f aca="false">IF(OR(G133="",H133=""),"",IF(MATCH(G133,{"Low","Medium","High"},0)*MATCH(H133,{"Low","Medium","High","Critical"},0)&gt;=9,"Critical",IF(MATCH(G133,{"Low","Medium","High"},0)*MATCH(H133,{"Low","Medium","High","Critical"},0)&gt;=6,"High",IF(MATCH(G133,{"Low","Medium","High"},0)*MATCH(H133,{"Low","Medium","High","Critical"},0)&gt;=3,"Medium","Low"))))</f>
        <v/>
      </c>
    </row>
    <row r="134" customFormat="false" ht="15" hidden="false" customHeight="false" outlineLevel="0" collapsed="false">
      <c r="I134" s="11" t="str">
        <f aca="false">IF(OR(G134="",H134=""),"",IF(MATCH(G134,{"Low","Medium","High"},0)*MATCH(H134,{"Low","Medium","High","Critical"},0)&gt;=9,"Critical",IF(MATCH(G134,{"Low","Medium","High"},0)*MATCH(H134,{"Low","Medium","High","Critical"},0)&gt;=6,"High",IF(MATCH(G134,{"Low","Medium","High"},0)*MATCH(H134,{"Low","Medium","High","Critical"},0)&gt;=3,"Medium","Low"))))</f>
        <v/>
      </c>
    </row>
    <row r="135" customFormat="false" ht="15" hidden="false" customHeight="false" outlineLevel="0" collapsed="false">
      <c r="I135" s="11" t="str">
        <f aca="false">IF(OR(G135="",H135=""),"",IF(MATCH(G135,{"Low","Medium","High"},0)*MATCH(H135,{"Low","Medium","High","Critical"},0)&gt;=9,"Critical",IF(MATCH(G135,{"Low","Medium","High"},0)*MATCH(H135,{"Low","Medium","High","Critical"},0)&gt;=6,"High",IF(MATCH(G135,{"Low","Medium","High"},0)*MATCH(H135,{"Low","Medium","High","Critical"},0)&gt;=3,"Medium","Low"))))</f>
        <v/>
      </c>
    </row>
    <row r="136" customFormat="false" ht="15" hidden="false" customHeight="false" outlineLevel="0" collapsed="false">
      <c r="I136" s="11" t="str">
        <f aca="false">IF(OR(G136="",H136=""),"",IF(MATCH(G136,{"Low","Medium","High"},0)*MATCH(H136,{"Low","Medium","High","Critical"},0)&gt;=9,"Critical",IF(MATCH(G136,{"Low","Medium","High"},0)*MATCH(H136,{"Low","Medium","High","Critical"},0)&gt;=6,"High",IF(MATCH(G136,{"Low","Medium","High"},0)*MATCH(H136,{"Low","Medium","High","Critical"},0)&gt;=3,"Medium","Low"))))</f>
        <v/>
      </c>
    </row>
    <row r="137" customFormat="false" ht="15" hidden="false" customHeight="false" outlineLevel="0" collapsed="false">
      <c r="I137" s="11" t="str">
        <f aca="false">IF(OR(G137="",H137=""),"",IF(MATCH(G137,{"Low","Medium","High"},0)*MATCH(H137,{"Low","Medium","High","Critical"},0)&gt;=9,"Critical",IF(MATCH(G137,{"Low","Medium","High"},0)*MATCH(H137,{"Low","Medium","High","Critical"},0)&gt;=6,"High",IF(MATCH(G137,{"Low","Medium","High"},0)*MATCH(H137,{"Low","Medium","High","Critical"},0)&gt;=3,"Medium","Low"))))</f>
        <v/>
      </c>
    </row>
    <row r="138" customFormat="false" ht="15" hidden="false" customHeight="false" outlineLevel="0" collapsed="false">
      <c r="I138" s="11" t="str">
        <f aca="false">IF(OR(G138="",H138=""),"",IF(MATCH(G138,{"Low","Medium","High"},0)*MATCH(H138,{"Low","Medium","High","Critical"},0)&gt;=9,"Critical",IF(MATCH(G138,{"Low","Medium","High"},0)*MATCH(H138,{"Low","Medium","High","Critical"},0)&gt;=6,"High",IF(MATCH(G138,{"Low","Medium","High"},0)*MATCH(H138,{"Low","Medium","High","Critical"},0)&gt;=3,"Medium","Low"))))</f>
        <v/>
      </c>
    </row>
    <row r="139" customFormat="false" ht="15" hidden="false" customHeight="false" outlineLevel="0" collapsed="false">
      <c r="I139" s="11" t="str">
        <f aca="false">IF(OR(G139="",H139=""),"",IF(MATCH(G139,{"Low","Medium","High"},0)*MATCH(H139,{"Low","Medium","High","Critical"},0)&gt;=9,"Critical",IF(MATCH(G139,{"Low","Medium","High"},0)*MATCH(H139,{"Low","Medium","High","Critical"},0)&gt;=6,"High",IF(MATCH(G139,{"Low","Medium","High"},0)*MATCH(H139,{"Low","Medium","High","Critical"},0)&gt;=3,"Medium","Low"))))</f>
        <v/>
      </c>
    </row>
    <row r="140" customFormat="false" ht="15" hidden="false" customHeight="false" outlineLevel="0" collapsed="false">
      <c r="I140" s="11" t="str">
        <f aca="false">IF(OR(G140="",H140=""),"",IF(MATCH(G140,{"Low","Medium","High"},0)*MATCH(H140,{"Low","Medium","High","Critical"},0)&gt;=9,"Critical",IF(MATCH(G140,{"Low","Medium","High"},0)*MATCH(H140,{"Low","Medium","High","Critical"},0)&gt;=6,"High",IF(MATCH(G140,{"Low","Medium","High"},0)*MATCH(H140,{"Low","Medium","High","Critical"},0)&gt;=3,"Medium","Low"))))</f>
        <v/>
      </c>
    </row>
    <row r="141" customFormat="false" ht="15" hidden="false" customHeight="false" outlineLevel="0" collapsed="false">
      <c r="I141" s="11" t="str">
        <f aca="false">IF(OR(G141="",H141=""),"",IF(MATCH(G141,{"Low","Medium","High"},0)*MATCH(H141,{"Low","Medium","High","Critical"},0)&gt;=9,"Critical",IF(MATCH(G141,{"Low","Medium","High"},0)*MATCH(H141,{"Low","Medium","High","Critical"},0)&gt;=6,"High",IF(MATCH(G141,{"Low","Medium","High"},0)*MATCH(H141,{"Low","Medium","High","Critical"},0)&gt;=3,"Medium","Low"))))</f>
        <v/>
      </c>
    </row>
    <row r="142" customFormat="false" ht="15" hidden="false" customHeight="false" outlineLevel="0" collapsed="false">
      <c r="I142" s="11" t="str">
        <f aca="false">IF(OR(G142="",H142=""),"",IF(MATCH(G142,{"Low","Medium","High"},0)*MATCH(H142,{"Low","Medium","High","Critical"},0)&gt;=9,"Critical",IF(MATCH(G142,{"Low","Medium","High"},0)*MATCH(H142,{"Low","Medium","High","Critical"},0)&gt;=6,"High",IF(MATCH(G142,{"Low","Medium","High"},0)*MATCH(H142,{"Low","Medium","High","Critical"},0)&gt;=3,"Medium","Low"))))</f>
        <v/>
      </c>
    </row>
    <row r="143" customFormat="false" ht="15" hidden="false" customHeight="false" outlineLevel="0" collapsed="false">
      <c r="I143" s="11" t="str">
        <f aca="false">IF(OR(G143="",H143=""),"",IF(MATCH(G143,{"Low","Medium","High"},0)*MATCH(H143,{"Low","Medium","High","Critical"},0)&gt;=9,"Critical",IF(MATCH(G143,{"Low","Medium","High"},0)*MATCH(H143,{"Low","Medium","High","Critical"},0)&gt;=6,"High",IF(MATCH(G143,{"Low","Medium","High"},0)*MATCH(H143,{"Low","Medium","High","Critical"},0)&gt;=3,"Medium","Low"))))</f>
        <v/>
      </c>
    </row>
    <row r="144" customFormat="false" ht="15" hidden="false" customHeight="false" outlineLevel="0" collapsed="false">
      <c r="I144" s="11" t="str">
        <f aca="false">IF(OR(G144="",H144=""),"",IF(MATCH(G144,{"Low","Medium","High"},0)*MATCH(H144,{"Low","Medium","High","Critical"},0)&gt;=9,"Critical",IF(MATCH(G144,{"Low","Medium","High"},0)*MATCH(H144,{"Low","Medium","High","Critical"},0)&gt;=6,"High",IF(MATCH(G144,{"Low","Medium","High"},0)*MATCH(H144,{"Low","Medium","High","Critical"},0)&gt;=3,"Medium","Low"))))</f>
        <v/>
      </c>
    </row>
    <row r="145" customFormat="false" ht="15" hidden="false" customHeight="false" outlineLevel="0" collapsed="false">
      <c r="I145" s="11" t="str">
        <f aca="false">IF(OR(G145="",H145=""),"",IF(MATCH(G145,{"Low","Medium","High"},0)*MATCH(H145,{"Low","Medium","High","Critical"},0)&gt;=9,"Critical",IF(MATCH(G145,{"Low","Medium","High"},0)*MATCH(H145,{"Low","Medium","High","Critical"},0)&gt;=6,"High",IF(MATCH(G145,{"Low","Medium","High"},0)*MATCH(H145,{"Low","Medium","High","Critical"},0)&gt;=3,"Medium","Low"))))</f>
        <v/>
      </c>
    </row>
    <row r="146" customFormat="false" ht="15" hidden="false" customHeight="false" outlineLevel="0" collapsed="false">
      <c r="I146" s="11" t="str">
        <f aca="false">IF(OR(G146="",H146=""),"",IF(MATCH(G146,{"Low","Medium","High"},0)*MATCH(H146,{"Low","Medium","High","Critical"},0)&gt;=9,"Critical",IF(MATCH(G146,{"Low","Medium","High"},0)*MATCH(H146,{"Low","Medium","High","Critical"},0)&gt;=6,"High",IF(MATCH(G146,{"Low","Medium","High"},0)*MATCH(H146,{"Low","Medium","High","Critical"},0)&gt;=3,"Medium","Low"))))</f>
        <v/>
      </c>
    </row>
    <row r="147" customFormat="false" ht="15" hidden="false" customHeight="false" outlineLevel="0" collapsed="false">
      <c r="I147" s="11" t="str">
        <f aca="false">IF(OR(G147="",H147=""),"",IF(MATCH(G147,{"Low","Medium","High"},0)*MATCH(H147,{"Low","Medium","High","Critical"},0)&gt;=9,"Critical",IF(MATCH(G147,{"Low","Medium","High"},0)*MATCH(H147,{"Low","Medium","High","Critical"},0)&gt;=6,"High",IF(MATCH(G147,{"Low","Medium","High"},0)*MATCH(H147,{"Low","Medium","High","Critical"},0)&gt;=3,"Medium","Low"))))</f>
        <v/>
      </c>
    </row>
    <row r="148" customFormat="false" ht="15" hidden="false" customHeight="false" outlineLevel="0" collapsed="false">
      <c r="I148" s="11" t="str">
        <f aca="false">IF(OR(G148="",H148=""),"",IF(MATCH(G148,{"Low","Medium","High"},0)*MATCH(H148,{"Low","Medium","High","Critical"},0)&gt;=9,"Critical",IF(MATCH(G148,{"Low","Medium","High"},0)*MATCH(H148,{"Low","Medium","High","Critical"},0)&gt;=6,"High",IF(MATCH(G148,{"Low","Medium","High"},0)*MATCH(H148,{"Low","Medium","High","Critical"},0)&gt;=3,"Medium","Low"))))</f>
        <v/>
      </c>
    </row>
    <row r="149" customFormat="false" ht="15" hidden="false" customHeight="false" outlineLevel="0" collapsed="false">
      <c r="I149" s="11" t="str">
        <f aca="false">IF(OR(G149="",H149=""),"",IF(MATCH(G149,{"Low","Medium","High"},0)*MATCH(H149,{"Low","Medium","High","Critical"},0)&gt;=9,"Critical",IF(MATCH(G149,{"Low","Medium","High"},0)*MATCH(H149,{"Low","Medium","High","Critical"},0)&gt;=6,"High",IF(MATCH(G149,{"Low","Medium","High"},0)*MATCH(H149,{"Low","Medium","High","Critical"},0)&gt;=3,"Medium","Low"))))</f>
        <v/>
      </c>
    </row>
    <row r="150" customFormat="false" ht="15" hidden="false" customHeight="false" outlineLevel="0" collapsed="false">
      <c r="I150" s="11" t="str">
        <f aca="false">IF(OR(G150="",H150=""),"",IF(MATCH(G150,{"Low","Medium","High"},0)*MATCH(H150,{"Low","Medium","High","Critical"},0)&gt;=9,"Critical",IF(MATCH(G150,{"Low","Medium","High"},0)*MATCH(H150,{"Low","Medium","High","Critical"},0)&gt;=6,"High",IF(MATCH(G150,{"Low","Medium","High"},0)*MATCH(H150,{"Low","Medium","High","Critical"},0)&gt;=3,"Medium","Low"))))</f>
        <v/>
      </c>
    </row>
    <row r="151" customFormat="false" ht="15" hidden="false" customHeight="false" outlineLevel="0" collapsed="false">
      <c r="I151" s="11" t="str">
        <f aca="false">IF(OR(G151="",H151=""),"",IF(MATCH(G151,{"Low","Medium","High"},0)*MATCH(H151,{"Low","Medium","High","Critical"},0)&gt;=9,"Critical",IF(MATCH(G151,{"Low","Medium","High"},0)*MATCH(H151,{"Low","Medium","High","Critical"},0)&gt;=6,"High",IF(MATCH(G151,{"Low","Medium","High"},0)*MATCH(H151,{"Low","Medium","High","Critical"},0)&gt;=3,"Medium","Low"))))</f>
        <v/>
      </c>
    </row>
    <row r="152" customFormat="false" ht="15" hidden="false" customHeight="false" outlineLevel="0" collapsed="false">
      <c r="I152" s="11" t="str">
        <f aca="false">IF(OR(G152="",H152=""),"",IF(MATCH(G152,{"Low","Medium","High"},0)*MATCH(H152,{"Low","Medium","High","Critical"},0)&gt;=9,"Critical",IF(MATCH(G152,{"Low","Medium","High"},0)*MATCH(H152,{"Low","Medium","High","Critical"},0)&gt;=6,"High",IF(MATCH(G152,{"Low","Medium","High"},0)*MATCH(H152,{"Low","Medium","High","Critical"},0)&gt;=3,"Medium","Low"))))</f>
        <v/>
      </c>
    </row>
    <row r="153" customFormat="false" ht="15" hidden="false" customHeight="false" outlineLevel="0" collapsed="false">
      <c r="I153" s="11" t="str">
        <f aca="false">IF(OR(G153="",H153=""),"",IF(MATCH(G153,{"Low","Medium","High"},0)*MATCH(H153,{"Low","Medium","High","Critical"},0)&gt;=9,"Critical",IF(MATCH(G153,{"Low","Medium","High"},0)*MATCH(H153,{"Low","Medium","High","Critical"},0)&gt;=6,"High",IF(MATCH(G153,{"Low","Medium","High"},0)*MATCH(H153,{"Low","Medium","High","Critical"},0)&gt;=3,"Medium","Low"))))</f>
        <v/>
      </c>
    </row>
    <row r="154" customFormat="false" ht="15" hidden="false" customHeight="false" outlineLevel="0" collapsed="false">
      <c r="I154" s="11" t="str">
        <f aca="false">IF(OR(G154="",H154=""),"",IF(MATCH(G154,{"Low","Medium","High"},0)*MATCH(H154,{"Low","Medium","High","Critical"},0)&gt;=9,"Critical",IF(MATCH(G154,{"Low","Medium","High"},0)*MATCH(H154,{"Low","Medium","High","Critical"},0)&gt;=6,"High",IF(MATCH(G154,{"Low","Medium","High"},0)*MATCH(H154,{"Low","Medium","High","Critical"},0)&gt;=3,"Medium","Low"))))</f>
        <v/>
      </c>
    </row>
    <row r="155" customFormat="false" ht="15" hidden="false" customHeight="false" outlineLevel="0" collapsed="false">
      <c r="I155" s="11" t="str">
        <f aca="false">IF(OR(G155="",H155=""),"",IF(MATCH(G155,{"Low","Medium","High"},0)*MATCH(H155,{"Low","Medium","High","Critical"},0)&gt;=9,"Critical",IF(MATCH(G155,{"Low","Medium","High"},0)*MATCH(H155,{"Low","Medium","High","Critical"},0)&gt;=6,"High",IF(MATCH(G155,{"Low","Medium","High"},0)*MATCH(H155,{"Low","Medium","High","Critical"},0)&gt;=3,"Medium","Low"))))</f>
        <v/>
      </c>
    </row>
    <row r="156" customFormat="false" ht="15" hidden="false" customHeight="false" outlineLevel="0" collapsed="false">
      <c r="I156" s="11" t="str">
        <f aca="false">IF(OR(G156="",H156=""),"",IF(MATCH(G156,{"Low","Medium","High"},0)*MATCH(H156,{"Low","Medium","High","Critical"},0)&gt;=9,"Critical",IF(MATCH(G156,{"Low","Medium","High"},0)*MATCH(H156,{"Low","Medium","High","Critical"},0)&gt;=6,"High",IF(MATCH(G156,{"Low","Medium","High"},0)*MATCH(H156,{"Low","Medium","High","Critical"},0)&gt;=3,"Medium","Low"))))</f>
        <v/>
      </c>
    </row>
    <row r="157" customFormat="false" ht="15" hidden="false" customHeight="false" outlineLevel="0" collapsed="false">
      <c r="I157" s="11" t="str">
        <f aca="false">IF(OR(G157="",H157=""),"",IF(MATCH(G157,{"Low","Medium","High"},0)*MATCH(H157,{"Low","Medium","High","Critical"},0)&gt;=9,"Critical",IF(MATCH(G157,{"Low","Medium","High"},0)*MATCH(H157,{"Low","Medium","High","Critical"},0)&gt;=6,"High",IF(MATCH(G157,{"Low","Medium","High"},0)*MATCH(H157,{"Low","Medium","High","Critical"},0)&gt;=3,"Medium","Low"))))</f>
        <v/>
      </c>
    </row>
    <row r="158" customFormat="false" ht="15" hidden="false" customHeight="false" outlineLevel="0" collapsed="false">
      <c r="I158" s="11" t="str">
        <f aca="false">IF(OR(G158="",H158=""),"",IF(MATCH(G158,{"Low","Medium","High"},0)*MATCH(H158,{"Low","Medium","High","Critical"},0)&gt;=9,"Critical",IF(MATCH(G158,{"Low","Medium","High"},0)*MATCH(H158,{"Low","Medium","High","Critical"},0)&gt;=6,"High",IF(MATCH(G158,{"Low","Medium","High"},0)*MATCH(H158,{"Low","Medium","High","Critical"},0)&gt;=3,"Medium","Low"))))</f>
        <v/>
      </c>
    </row>
    <row r="159" customFormat="false" ht="15" hidden="false" customHeight="false" outlineLevel="0" collapsed="false">
      <c r="I159" s="11" t="str">
        <f aca="false">IF(OR(G159="",H159=""),"",IF(MATCH(G159,{"Low","Medium","High"},0)*MATCH(H159,{"Low","Medium","High","Critical"},0)&gt;=9,"Critical",IF(MATCH(G159,{"Low","Medium","High"},0)*MATCH(H159,{"Low","Medium","High","Critical"},0)&gt;=6,"High",IF(MATCH(G159,{"Low","Medium","High"},0)*MATCH(H159,{"Low","Medium","High","Critical"},0)&gt;=3,"Medium","Low"))))</f>
        <v/>
      </c>
    </row>
    <row r="160" customFormat="false" ht="15" hidden="false" customHeight="false" outlineLevel="0" collapsed="false">
      <c r="I160" s="11" t="str">
        <f aca="false">IF(OR(G160="",H160=""),"",IF(MATCH(G160,{"Low","Medium","High"},0)*MATCH(H160,{"Low","Medium","High","Critical"},0)&gt;=9,"Critical",IF(MATCH(G160,{"Low","Medium","High"},0)*MATCH(H160,{"Low","Medium","High","Critical"},0)&gt;=6,"High",IF(MATCH(G160,{"Low","Medium","High"},0)*MATCH(H160,{"Low","Medium","High","Critical"},0)&gt;=3,"Medium","Low"))))</f>
        <v/>
      </c>
    </row>
    <row r="161" customFormat="false" ht="15" hidden="false" customHeight="false" outlineLevel="0" collapsed="false">
      <c r="I161" s="11" t="str">
        <f aca="false">IF(OR(G161="",H161=""),"",IF(MATCH(G161,{"Low","Medium","High"},0)*MATCH(H161,{"Low","Medium","High","Critical"},0)&gt;=9,"Critical",IF(MATCH(G161,{"Low","Medium","High"},0)*MATCH(H161,{"Low","Medium","High","Critical"},0)&gt;=6,"High",IF(MATCH(G161,{"Low","Medium","High"},0)*MATCH(H161,{"Low","Medium","High","Critical"},0)&gt;=3,"Medium","Low"))))</f>
        <v/>
      </c>
    </row>
    <row r="162" customFormat="false" ht="15" hidden="false" customHeight="false" outlineLevel="0" collapsed="false">
      <c r="I162" s="11" t="str">
        <f aca="false">IF(OR(G162="",H162=""),"",IF(MATCH(G162,{"Low","Medium","High"},0)*MATCH(H162,{"Low","Medium","High","Critical"},0)&gt;=9,"Critical",IF(MATCH(G162,{"Low","Medium","High"},0)*MATCH(H162,{"Low","Medium","High","Critical"},0)&gt;=6,"High",IF(MATCH(G162,{"Low","Medium","High"},0)*MATCH(H162,{"Low","Medium","High","Critical"},0)&gt;=3,"Medium","Low"))))</f>
        <v/>
      </c>
    </row>
    <row r="163" customFormat="false" ht="15" hidden="false" customHeight="false" outlineLevel="0" collapsed="false">
      <c r="I163" s="11" t="str">
        <f aca="false">IF(OR(G163="",H163=""),"",IF(MATCH(G163,{"Low","Medium","High"},0)*MATCH(H163,{"Low","Medium","High","Critical"},0)&gt;=9,"Critical",IF(MATCH(G163,{"Low","Medium","High"},0)*MATCH(H163,{"Low","Medium","High","Critical"},0)&gt;=6,"High",IF(MATCH(G163,{"Low","Medium","High"},0)*MATCH(H163,{"Low","Medium","High","Critical"},0)&gt;=3,"Medium","Low"))))</f>
        <v/>
      </c>
    </row>
    <row r="164" customFormat="false" ht="15" hidden="false" customHeight="false" outlineLevel="0" collapsed="false">
      <c r="I164" s="11" t="str">
        <f aca="false">IF(OR(G164="",H164=""),"",IF(MATCH(G164,{"Low","Medium","High"},0)*MATCH(H164,{"Low","Medium","High","Critical"},0)&gt;=9,"Critical",IF(MATCH(G164,{"Low","Medium","High"},0)*MATCH(H164,{"Low","Medium","High","Critical"},0)&gt;=6,"High",IF(MATCH(G164,{"Low","Medium","High"},0)*MATCH(H164,{"Low","Medium","High","Critical"},0)&gt;=3,"Medium","Low"))))</f>
        <v/>
      </c>
    </row>
    <row r="165" customFormat="false" ht="15" hidden="false" customHeight="false" outlineLevel="0" collapsed="false">
      <c r="I165" s="11" t="str">
        <f aca="false">IF(OR(G165="",H165=""),"",IF(MATCH(G165,{"Low","Medium","High"},0)*MATCH(H165,{"Low","Medium","High","Critical"},0)&gt;=9,"Critical",IF(MATCH(G165,{"Low","Medium","High"},0)*MATCH(H165,{"Low","Medium","High","Critical"},0)&gt;=6,"High",IF(MATCH(G165,{"Low","Medium","High"},0)*MATCH(H165,{"Low","Medium","High","Critical"},0)&gt;=3,"Medium","Low"))))</f>
        <v/>
      </c>
    </row>
    <row r="166" customFormat="false" ht="15" hidden="false" customHeight="false" outlineLevel="0" collapsed="false">
      <c r="I166" s="11" t="str">
        <f aca="false">IF(OR(G166="",H166=""),"",IF(MATCH(G166,{"Low","Medium","High"},0)*MATCH(H166,{"Low","Medium","High","Critical"},0)&gt;=9,"Critical",IF(MATCH(G166,{"Low","Medium","High"},0)*MATCH(H166,{"Low","Medium","High","Critical"},0)&gt;=6,"High",IF(MATCH(G166,{"Low","Medium","High"},0)*MATCH(H166,{"Low","Medium","High","Critical"},0)&gt;=3,"Medium","Low"))))</f>
        <v/>
      </c>
    </row>
    <row r="167" customFormat="false" ht="15" hidden="false" customHeight="false" outlineLevel="0" collapsed="false">
      <c r="I167" s="11" t="str">
        <f aca="false">IF(OR(G167="",H167=""),"",IF(MATCH(G167,{"Low","Medium","High"},0)*MATCH(H167,{"Low","Medium","High","Critical"},0)&gt;=9,"Critical",IF(MATCH(G167,{"Low","Medium","High"},0)*MATCH(H167,{"Low","Medium","High","Critical"},0)&gt;=6,"High",IF(MATCH(G167,{"Low","Medium","High"},0)*MATCH(H167,{"Low","Medium","High","Critical"},0)&gt;=3,"Medium","Low"))))</f>
        <v/>
      </c>
    </row>
    <row r="168" customFormat="false" ht="15" hidden="false" customHeight="false" outlineLevel="0" collapsed="false">
      <c r="I168" s="11" t="str">
        <f aca="false">IF(OR(G168="",H168=""),"",IF(MATCH(G168,{"Low","Medium","High"},0)*MATCH(H168,{"Low","Medium","High","Critical"},0)&gt;=9,"Critical",IF(MATCH(G168,{"Low","Medium","High"},0)*MATCH(H168,{"Low","Medium","High","Critical"},0)&gt;=6,"High",IF(MATCH(G168,{"Low","Medium","High"},0)*MATCH(H168,{"Low","Medium","High","Critical"},0)&gt;=3,"Medium","Low"))))</f>
        <v/>
      </c>
    </row>
    <row r="169" customFormat="false" ht="15" hidden="false" customHeight="false" outlineLevel="0" collapsed="false">
      <c r="I169" s="11" t="str">
        <f aca="false">IF(OR(G169="",H169=""),"",IF(MATCH(G169,{"Low","Medium","High"},0)*MATCH(H169,{"Low","Medium","High","Critical"},0)&gt;=9,"Critical",IF(MATCH(G169,{"Low","Medium","High"},0)*MATCH(H169,{"Low","Medium","High","Critical"},0)&gt;=6,"High",IF(MATCH(G169,{"Low","Medium","High"},0)*MATCH(H169,{"Low","Medium","High","Critical"},0)&gt;=3,"Medium","Low"))))</f>
        <v/>
      </c>
    </row>
    <row r="170" customFormat="false" ht="15" hidden="false" customHeight="false" outlineLevel="0" collapsed="false">
      <c r="I170" s="11" t="str">
        <f aca="false">IF(OR(G170="",H170=""),"",IF(MATCH(G170,{"Low","Medium","High"},0)*MATCH(H170,{"Low","Medium","High","Critical"},0)&gt;=9,"Critical",IF(MATCH(G170,{"Low","Medium","High"},0)*MATCH(H170,{"Low","Medium","High","Critical"},0)&gt;=6,"High",IF(MATCH(G170,{"Low","Medium","High"},0)*MATCH(H170,{"Low","Medium","High","Critical"},0)&gt;=3,"Medium","Low"))))</f>
        <v/>
      </c>
    </row>
    <row r="171" customFormat="false" ht="15" hidden="false" customHeight="false" outlineLevel="0" collapsed="false">
      <c r="I171" s="11" t="str">
        <f aca="false">IF(OR(G171="",H171=""),"",IF(MATCH(G171,{"Low","Medium","High"},0)*MATCH(H171,{"Low","Medium","High","Critical"},0)&gt;=9,"Critical",IF(MATCH(G171,{"Low","Medium","High"},0)*MATCH(H171,{"Low","Medium","High","Critical"},0)&gt;=6,"High",IF(MATCH(G171,{"Low","Medium","High"},0)*MATCH(H171,{"Low","Medium","High","Critical"},0)&gt;=3,"Medium","Low"))))</f>
        <v/>
      </c>
    </row>
    <row r="172" customFormat="false" ht="15" hidden="false" customHeight="false" outlineLevel="0" collapsed="false">
      <c r="I172" s="11" t="str">
        <f aca="false">IF(OR(G172="",H172=""),"",IF(MATCH(G172,{"Low","Medium","High"},0)*MATCH(H172,{"Low","Medium","High","Critical"},0)&gt;=9,"Critical",IF(MATCH(G172,{"Low","Medium","High"},0)*MATCH(H172,{"Low","Medium","High","Critical"},0)&gt;=6,"High",IF(MATCH(G172,{"Low","Medium","High"},0)*MATCH(H172,{"Low","Medium","High","Critical"},0)&gt;=3,"Medium","Low"))))</f>
        <v/>
      </c>
    </row>
    <row r="173" customFormat="false" ht="15" hidden="false" customHeight="false" outlineLevel="0" collapsed="false">
      <c r="I173" s="11" t="str">
        <f aca="false">IF(OR(G173="",H173=""),"",IF(MATCH(G173,{"Low","Medium","High"},0)*MATCH(H173,{"Low","Medium","High","Critical"},0)&gt;=9,"Critical",IF(MATCH(G173,{"Low","Medium","High"},0)*MATCH(H173,{"Low","Medium","High","Critical"},0)&gt;=6,"High",IF(MATCH(G173,{"Low","Medium","High"},0)*MATCH(H173,{"Low","Medium","High","Critical"},0)&gt;=3,"Medium","Low"))))</f>
        <v/>
      </c>
    </row>
    <row r="174" customFormat="false" ht="15" hidden="false" customHeight="false" outlineLevel="0" collapsed="false">
      <c r="I174" s="11" t="str">
        <f aca="false">IF(OR(G174="",H174=""),"",IF(MATCH(G174,{"Low","Medium","High"},0)*MATCH(H174,{"Low","Medium","High","Critical"},0)&gt;=9,"Critical",IF(MATCH(G174,{"Low","Medium","High"},0)*MATCH(H174,{"Low","Medium","High","Critical"},0)&gt;=6,"High",IF(MATCH(G174,{"Low","Medium","High"},0)*MATCH(H174,{"Low","Medium","High","Critical"},0)&gt;=3,"Medium","Low"))))</f>
        <v/>
      </c>
    </row>
    <row r="175" customFormat="false" ht="15" hidden="false" customHeight="false" outlineLevel="0" collapsed="false">
      <c r="I175" s="11" t="str">
        <f aca="false">IF(OR(G175="",H175=""),"",IF(MATCH(G175,{"Low","Medium","High"},0)*MATCH(H175,{"Low","Medium","High","Critical"},0)&gt;=9,"Critical",IF(MATCH(G175,{"Low","Medium","High"},0)*MATCH(H175,{"Low","Medium","High","Critical"},0)&gt;=6,"High",IF(MATCH(G175,{"Low","Medium","High"},0)*MATCH(H175,{"Low","Medium","High","Critical"},0)&gt;=3,"Medium","Low"))))</f>
        <v/>
      </c>
    </row>
    <row r="176" customFormat="false" ht="15" hidden="false" customHeight="false" outlineLevel="0" collapsed="false">
      <c r="I176" s="11" t="str">
        <f aca="false">IF(OR(G176="",H176=""),"",IF(MATCH(G176,{"Low","Medium","High"},0)*MATCH(H176,{"Low","Medium","High","Critical"},0)&gt;=9,"Critical",IF(MATCH(G176,{"Low","Medium","High"},0)*MATCH(H176,{"Low","Medium","High","Critical"},0)&gt;=6,"High",IF(MATCH(G176,{"Low","Medium","High"},0)*MATCH(H176,{"Low","Medium","High","Critical"},0)&gt;=3,"Medium","Low"))))</f>
        <v/>
      </c>
    </row>
    <row r="177" customFormat="false" ht="15" hidden="false" customHeight="false" outlineLevel="0" collapsed="false">
      <c r="I177" s="11" t="str">
        <f aca="false">IF(OR(G177="",H177=""),"",IF(MATCH(G177,{"Low","Medium","High"},0)*MATCH(H177,{"Low","Medium","High","Critical"},0)&gt;=9,"Critical",IF(MATCH(G177,{"Low","Medium","High"},0)*MATCH(H177,{"Low","Medium","High","Critical"},0)&gt;=6,"High",IF(MATCH(G177,{"Low","Medium","High"},0)*MATCH(H177,{"Low","Medium","High","Critical"},0)&gt;=3,"Medium","Low"))))</f>
        <v/>
      </c>
    </row>
    <row r="178" customFormat="false" ht="15" hidden="false" customHeight="false" outlineLevel="0" collapsed="false">
      <c r="I178" s="11" t="str">
        <f aca="false">IF(OR(G178="",H178=""),"",IF(MATCH(G178,{"Low","Medium","High"},0)*MATCH(H178,{"Low","Medium","High","Critical"},0)&gt;=9,"Critical",IF(MATCH(G178,{"Low","Medium","High"},0)*MATCH(H178,{"Low","Medium","High","Critical"},0)&gt;=6,"High",IF(MATCH(G178,{"Low","Medium","High"},0)*MATCH(H178,{"Low","Medium","High","Critical"},0)&gt;=3,"Medium","Low"))))</f>
        <v/>
      </c>
    </row>
    <row r="179" customFormat="false" ht="15" hidden="false" customHeight="false" outlineLevel="0" collapsed="false">
      <c r="I179" s="11" t="str">
        <f aca="false">IF(OR(G179="",H179=""),"",IF(MATCH(G179,{"Low","Medium","High"},0)*MATCH(H179,{"Low","Medium","High","Critical"},0)&gt;=9,"Critical",IF(MATCH(G179,{"Low","Medium","High"},0)*MATCH(H179,{"Low","Medium","High","Critical"},0)&gt;=6,"High",IF(MATCH(G179,{"Low","Medium","High"},0)*MATCH(H179,{"Low","Medium","High","Critical"},0)&gt;=3,"Medium","Low"))))</f>
        <v/>
      </c>
    </row>
    <row r="180" customFormat="false" ht="15" hidden="false" customHeight="false" outlineLevel="0" collapsed="false">
      <c r="I180" s="11" t="str">
        <f aca="false">IF(OR(G180="",H180=""),"",IF(MATCH(G180,{"Low","Medium","High"},0)*MATCH(H180,{"Low","Medium","High","Critical"},0)&gt;=9,"Critical",IF(MATCH(G180,{"Low","Medium","High"},0)*MATCH(H180,{"Low","Medium","High","Critical"},0)&gt;=6,"High",IF(MATCH(G180,{"Low","Medium","High"},0)*MATCH(H180,{"Low","Medium","High","Critical"},0)&gt;=3,"Medium","Low"))))</f>
        <v/>
      </c>
    </row>
    <row r="181" customFormat="false" ht="15" hidden="false" customHeight="false" outlineLevel="0" collapsed="false">
      <c r="I181" s="11" t="str">
        <f aca="false">IF(OR(G181="",H181=""),"",IF(MATCH(G181,{"Low","Medium","High"},0)*MATCH(H181,{"Low","Medium","High","Critical"},0)&gt;=9,"Critical",IF(MATCH(G181,{"Low","Medium","High"},0)*MATCH(H181,{"Low","Medium","High","Critical"},0)&gt;=6,"High",IF(MATCH(G181,{"Low","Medium","High"},0)*MATCH(H181,{"Low","Medium","High","Critical"},0)&gt;=3,"Medium","Low"))))</f>
        <v/>
      </c>
    </row>
    <row r="182" customFormat="false" ht="15" hidden="false" customHeight="false" outlineLevel="0" collapsed="false">
      <c r="I182" s="11" t="str">
        <f aca="false">IF(OR(G182="",H182=""),"",IF(MATCH(G182,{"Low","Medium","High"},0)*MATCH(H182,{"Low","Medium","High","Critical"},0)&gt;=9,"Critical",IF(MATCH(G182,{"Low","Medium","High"},0)*MATCH(H182,{"Low","Medium","High","Critical"},0)&gt;=6,"High",IF(MATCH(G182,{"Low","Medium","High"},0)*MATCH(H182,{"Low","Medium","High","Critical"},0)&gt;=3,"Medium","Low"))))</f>
        <v/>
      </c>
    </row>
    <row r="183" customFormat="false" ht="15" hidden="false" customHeight="false" outlineLevel="0" collapsed="false">
      <c r="I183" s="11" t="str">
        <f aca="false">IF(OR(G183="",H183=""),"",IF(MATCH(G183,{"Low","Medium","High"},0)*MATCH(H183,{"Low","Medium","High","Critical"},0)&gt;=9,"Critical",IF(MATCH(G183,{"Low","Medium","High"},0)*MATCH(H183,{"Low","Medium","High","Critical"},0)&gt;=6,"High",IF(MATCH(G183,{"Low","Medium","High"},0)*MATCH(H183,{"Low","Medium","High","Critical"},0)&gt;=3,"Medium","Low"))))</f>
        <v/>
      </c>
    </row>
    <row r="184" customFormat="false" ht="15" hidden="false" customHeight="false" outlineLevel="0" collapsed="false">
      <c r="I184" s="11" t="str">
        <f aca="false">IF(OR(G184="",H184=""),"",IF(MATCH(G184,{"Low","Medium","High"},0)*MATCH(H184,{"Low","Medium","High","Critical"},0)&gt;=9,"Critical",IF(MATCH(G184,{"Low","Medium","High"},0)*MATCH(H184,{"Low","Medium","High","Critical"},0)&gt;=6,"High",IF(MATCH(G184,{"Low","Medium","High"},0)*MATCH(H184,{"Low","Medium","High","Critical"},0)&gt;=3,"Medium","Low"))))</f>
        <v/>
      </c>
    </row>
    <row r="185" customFormat="false" ht="15" hidden="false" customHeight="false" outlineLevel="0" collapsed="false">
      <c r="I185" s="11" t="str">
        <f aca="false">IF(OR(G185="",H185=""),"",IF(MATCH(G185,{"Low","Medium","High"},0)*MATCH(H185,{"Low","Medium","High","Critical"},0)&gt;=9,"Critical",IF(MATCH(G185,{"Low","Medium","High"},0)*MATCH(H185,{"Low","Medium","High","Critical"},0)&gt;=6,"High",IF(MATCH(G185,{"Low","Medium","High"},0)*MATCH(H185,{"Low","Medium","High","Critical"},0)&gt;=3,"Medium","Low"))))</f>
        <v/>
      </c>
    </row>
    <row r="186" customFormat="false" ht="15" hidden="false" customHeight="false" outlineLevel="0" collapsed="false">
      <c r="I186" s="11" t="str">
        <f aca="false">IF(OR(G186="",H186=""),"",IF(MATCH(G186,{"Low","Medium","High"},0)*MATCH(H186,{"Low","Medium","High","Critical"},0)&gt;=9,"Critical",IF(MATCH(G186,{"Low","Medium","High"},0)*MATCH(H186,{"Low","Medium","High","Critical"},0)&gt;=6,"High",IF(MATCH(G186,{"Low","Medium","High"},0)*MATCH(H186,{"Low","Medium","High","Critical"},0)&gt;=3,"Medium","Low"))))</f>
        <v/>
      </c>
    </row>
    <row r="187" customFormat="false" ht="15" hidden="false" customHeight="false" outlineLevel="0" collapsed="false">
      <c r="I187" s="11" t="str">
        <f aca="false">IF(OR(G187="",H187=""),"",IF(MATCH(G187,{"Low","Medium","High"},0)*MATCH(H187,{"Low","Medium","High","Critical"},0)&gt;=9,"Critical",IF(MATCH(G187,{"Low","Medium","High"},0)*MATCH(H187,{"Low","Medium","High","Critical"},0)&gt;=6,"High",IF(MATCH(G187,{"Low","Medium","High"},0)*MATCH(H187,{"Low","Medium","High","Critical"},0)&gt;=3,"Medium","Low"))))</f>
        <v/>
      </c>
    </row>
    <row r="188" customFormat="false" ht="15" hidden="false" customHeight="false" outlineLevel="0" collapsed="false">
      <c r="I188" s="11" t="str">
        <f aca="false">IF(OR(G188="",H188=""),"",IF(MATCH(G188,{"Low","Medium","High"},0)*MATCH(H188,{"Low","Medium","High","Critical"},0)&gt;=9,"Critical",IF(MATCH(G188,{"Low","Medium","High"},0)*MATCH(H188,{"Low","Medium","High","Critical"},0)&gt;=6,"High",IF(MATCH(G188,{"Low","Medium","High"},0)*MATCH(H188,{"Low","Medium","High","Critical"},0)&gt;=3,"Medium","Low"))))</f>
        <v/>
      </c>
    </row>
    <row r="189" customFormat="false" ht="15" hidden="false" customHeight="false" outlineLevel="0" collapsed="false">
      <c r="I189" s="11" t="str">
        <f aca="false">IF(OR(G189="",H189=""),"",IF(MATCH(G189,{"Low","Medium","High"},0)*MATCH(H189,{"Low","Medium","High","Critical"},0)&gt;=9,"Critical",IF(MATCH(G189,{"Low","Medium","High"},0)*MATCH(H189,{"Low","Medium","High","Critical"},0)&gt;=6,"High",IF(MATCH(G189,{"Low","Medium","High"},0)*MATCH(H189,{"Low","Medium","High","Critical"},0)&gt;=3,"Medium","Low"))))</f>
        <v/>
      </c>
    </row>
    <row r="190" customFormat="false" ht="15" hidden="false" customHeight="false" outlineLevel="0" collapsed="false">
      <c r="I190" s="11" t="str">
        <f aca="false">IF(OR(G190="",H190=""),"",IF(MATCH(G190,{"Low","Medium","High"},0)*MATCH(H190,{"Low","Medium","High","Critical"},0)&gt;=9,"Critical",IF(MATCH(G190,{"Low","Medium","High"},0)*MATCH(H190,{"Low","Medium","High","Critical"},0)&gt;=6,"High",IF(MATCH(G190,{"Low","Medium","High"},0)*MATCH(H190,{"Low","Medium","High","Critical"},0)&gt;=3,"Medium","Low"))))</f>
        <v/>
      </c>
    </row>
    <row r="191" customFormat="false" ht="15" hidden="false" customHeight="false" outlineLevel="0" collapsed="false">
      <c r="I191" s="11" t="str">
        <f aca="false">IF(OR(G191="",H191=""),"",IF(MATCH(G191,{"Low","Medium","High"},0)*MATCH(H191,{"Low","Medium","High","Critical"},0)&gt;=9,"Critical",IF(MATCH(G191,{"Low","Medium","High"},0)*MATCH(H191,{"Low","Medium","High","Critical"},0)&gt;=6,"High",IF(MATCH(G191,{"Low","Medium","High"},0)*MATCH(H191,{"Low","Medium","High","Critical"},0)&gt;=3,"Medium","Low"))))</f>
        <v/>
      </c>
    </row>
    <row r="192" customFormat="false" ht="15" hidden="false" customHeight="false" outlineLevel="0" collapsed="false">
      <c r="I192" s="11" t="str">
        <f aca="false">IF(OR(G192="",H192=""),"",IF(MATCH(G192,{"Low","Medium","High"},0)*MATCH(H192,{"Low","Medium","High","Critical"},0)&gt;=9,"Critical",IF(MATCH(G192,{"Low","Medium","High"},0)*MATCH(H192,{"Low","Medium","High","Critical"},0)&gt;=6,"High",IF(MATCH(G192,{"Low","Medium","High"},0)*MATCH(H192,{"Low","Medium","High","Critical"},0)&gt;=3,"Medium","Low"))))</f>
        <v/>
      </c>
    </row>
    <row r="193" customFormat="false" ht="15" hidden="false" customHeight="false" outlineLevel="0" collapsed="false">
      <c r="I193" s="11" t="str">
        <f aca="false">IF(OR(G193="",H193=""),"",IF(MATCH(G193,{"Low","Medium","High"},0)*MATCH(H193,{"Low","Medium","High","Critical"},0)&gt;=9,"Critical",IF(MATCH(G193,{"Low","Medium","High"},0)*MATCH(H193,{"Low","Medium","High","Critical"},0)&gt;=6,"High",IF(MATCH(G193,{"Low","Medium","High"},0)*MATCH(H193,{"Low","Medium","High","Critical"},0)&gt;=3,"Medium","Low"))))</f>
        <v/>
      </c>
    </row>
    <row r="194" customFormat="false" ht="15" hidden="false" customHeight="false" outlineLevel="0" collapsed="false">
      <c r="I194" s="11" t="str">
        <f aca="false">IF(OR(G194="",H194=""),"",IF(MATCH(G194,{"Low","Medium","High"},0)*MATCH(H194,{"Low","Medium","High","Critical"},0)&gt;=9,"Critical",IF(MATCH(G194,{"Low","Medium","High"},0)*MATCH(H194,{"Low","Medium","High","Critical"},0)&gt;=6,"High",IF(MATCH(G194,{"Low","Medium","High"},0)*MATCH(H194,{"Low","Medium","High","Critical"},0)&gt;=3,"Medium","Low"))))</f>
        <v/>
      </c>
    </row>
    <row r="195" customFormat="false" ht="15" hidden="false" customHeight="false" outlineLevel="0" collapsed="false">
      <c r="I195" s="11" t="str">
        <f aca="false">IF(OR(G195="",H195=""),"",IF(MATCH(G195,{"Low","Medium","High"},0)*MATCH(H195,{"Low","Medium","High","Critical"},0)&gt;=9,"Critical",IF(MATCH(G195,{"Low","Medium","High"},0)*MATCH(H195,{"Low","Medium","High","Critical"},0)&gt;=6,"High",IF(MATCH(G195,{"Low","Medium","High"},0)*MATCH(H195,{"Low","Medium","High","Critical"},0)&gt;=3,"Medium","Low"))))</f>
        <v/>
      </c>
    </row>
    <row r="196" customFormat="false" ht="15" hidden="false" customHeight="false" outlineLevel="0" collapsed="false">
      <c r="I196" s="11" t="str">
        <f aca="false">IF(OR(G196="",H196=""),"",IF(MATCH(G196,{"Low","Medium","High"},0)*MATCH(H196,{"Low","Medium","High","Critical"},0)&gt;=9,"Critical",IF(MATCH(G196,{"Low","Medium","High"},0)*MATCH(H196,{"Low","Medium","High","Critical"},0)&gt;=6,"High",IF(MATCH(G196,{"Low","Medium","High"},0)*MATCH(H196,{"Low","Medium","High","Critical"},0)&gt;=3,"Medium","Low"))))</f>
        <v/>
      </c>
    </row>
    <row r="197" customFormat="false" ht="15" hidden="false" customHeight="false" outlineLevel="0" collapsed="false">
      <c r="I197" s="11" t="str">
        <f aca="false">IF(OR(G197="",H197=""),"",IF(MATCH(G197,{"Low","Medium","High"},0)*MATCH(H197,{"Low","Medium","High","Critical"},0)&gt;=9,"Critical",IF(MATCH(G197,{"Low","Medium","High"},0)*MATCH(H197,{"Low","Medium","High","Critical"},0)&gt;=6,"High",IF(MATCH(G197,{"Low","Medium","High"},0)*MATCH(H197,{"Low","Medium","High","Critical"},0)&gt;=3,"Medium","Low"))))</f>
        <v/>
      </c>
    </row>
    <row r="198" customFormat="false" ht="15" hidden="false" customHeight="false" outlineLevel="0" collapsed="false">
      <c r="I198" s="11" t="str">
        <f aca="false">IF(OR(G198="",H198=""),"",IF(MATCH(G198,{"Low","Medium","High"},0)*MATCH(H198,{"Low","Medium","High","Critical"},0)&gt;=9,"Critical",IF(MATCH(G198,{"Low","Medium","High"},0)*MATCH(H198,{"Low","Medium","High","Critical"},0)&gt;=6,"High",IF(MATCH(G198,{"Low","Medium","High"},0)*MATCH(H198,{"Low","Medium","High","Critical"},0)&gt;=3,"Medium","Low"))))</f>
        <v/>
      </c>
    </row>
    <row r="199" customFormat="false" ht="15" hidden="false" customHeight="false" outlineLevel="0" collapsed="false">
      <c r="I199" s="11" t="str">
        <f aca="false">IF(OR(G199="",H199=""),"",IF(MATCH(G199,{"Low","Medium","High"},0)*MATCH(H199,{"Low","Medium","High","Critical"},0)&gt;=9,"Critical",IF(MATCH(G199,{"Low","Medium","High"},0)*MATCH(H199,{"Low","Medium","High","Critical"},0)&gt;=6,"High",IF(MATCH(G199,{"Low","Medium","High"},0)*MATCH(H199,{"Low","Medium","High","Critical"},0)&gt;=3,"Medium","Low"))))</f>
        <v/>
      </c>
    </row>
    <row r="200" customFormat="false" ht="15" hidden="false" customHeight="false" outlineLevel="0" collapsed="false">
      <c r="I200" s="11" t="str">
        <f aca="false">IF(OR(G200="",H200=""),"",IF(MATCH(G200,{"Low","Medium","High"},0)*MATCH(H200,{"Low","Medium","High","Critical"},0)&gt;=9,"Critical",IF(MATCH(G200,{"Low","Medium","High"},0)*MATCH(H200,{"Low","Medium","High","Critical"},0)&gt;=6,"High",IF(MATCH(G200,{"Low","Medium","High"},0)*MATCH(H200,{"Low","Medium","High","Critical"},0)&gt;=3,"Medium","Low"))))</f>
        <v/>
      </c>
    </row>
    <row r="201" customFormat="false" ht="15" hidden="false" customHeight="false" outlineLevel="0" collapsed="false">
      <c r="I201" s="11" t="str">
        <f aca="false">IF(OR(G201="",H201=""),"",IF(MATCH(G201,{"Low","Medium","High"},0)*MATCH(H201,{"Low","Medium","High","Critical"},0)&gt;=9,"Critical",IF(MATCH(G201,{"Low","Medium","High"},0)*MATCH(H201,{"Low","Medium","High","Critical"},0)&gt;=6,"High",IF(MATCH(G201,{"Low","Medium","High"},0)*MATCH(H201,{"Low","Medium","High","Critical"},0)&gt;=3,"Medium","Low"))))</f>
        <v/>
      </c>
    </row>
    <row r="202" customFormat="false" ht="15" hidden="false" customHeight="false" outlineLevel="0" collapsed="false">
      <c r="I202" s="11" t="str">
        <f aca="false">IF(OR(G202="",H202=""),"",IF(MATCH(G202,{"Low","Medium","High"},0)*MATCH(H202,{"Low","Medium","High","Critical"},0)&gt;=9,"Critical",IF(MATCH(G202,{"Low","Medium","High"},0)*MATCH(H202,{"Low","Medium","High","Critical"},0)&gt;=6,"High",IF(MATCH(G202,{"Low","Medium","High"},0)*MATCH(H202,{"Low","Medium","High","Critical"},0)&gt;=3,"Medium","Low"))))</f>
        <v/>
      </c>
    </row>
    <row r="203" customFormat="false" ht="15" hidden="false" customHeight="false" outlineLevel="0" collapsed="false">
      <c r="I203" s="11" t="str">
        <f aca="false">IF(OR(G203="",H203=""),"",IF(MATCH(G203,{"Low","Medium","High"},0)*MATCH(H203,{"Low","Medium","High","Critical"},0)&gt;=9,"Critical",IF(MATCH(G203,{"Low","Medium","High"},0)*MATCH(H203,{"Low","Medium","High","Critical"},0)&gt;=6,"High",IF(MATCH(G203,{"Low","Medium","High"},0)*MATCH(H203,{"Low","Medium","High","Critical"},0)&gt;=3,"Medium","Low"))))</f>
        <v/>
      </c>
    </row>
    <row r="204" customFormat="false" ht="15" hidden="false" customHeight="false" outlineLevel="0" collapsed="false">
      <c r="I204" s="11" t="str">
        <f aca="false">IF(OR(G204="",H204=""),"",IF(MATCH(G204,{"Low","Medium","High"},0)*MATCH(H204,{"Low","Medium","High","Critical"},0)&gt;=9,"Critical",IF(MATCH(G204,{"Low","Medium","High"},0)*MATCH(H204,{"Low","Medium","High","Critical"},0)&gt;=6,"High",IF(MATCH(G204,{"Low","Medium","High"},0)*MATCH(H204,{"Low","Medium","High","Critical"},0)&gt;=3,"Medium","Low"))))</f>
        <v/>
      </c>
    </row>
    <row r="205" customFormat="false" ht="15" hidden="false" customHeight="false" outlineLevel="0" collapsed="false">
      <c r="I205" s="11" t="str">
        <f aca="false">IF(OR(G205="",H205=""),"",IF(MATCH(G205,{"Low","Medium","High"},0)*MATCH(H205,{"Low","Medium","High","Critical"},0)&gt;=9,"Critical",IF(MATCH(G205,{"Low","Medium","High"},0)*MATCH(H205,{"Low","Medium","High","Critical"},0)&gt;=6,"High",IF(MATCH(G205,{"Low","Medium","High"},0)*MATCH(H205,{"Low","Medium","High","Critical"},0)&gt;=3,"Medium","Low"))))</f>
        <v/>
      </c>
    </row>
    <row r="206" customFormat="false" ht="15" hidden="false" customHeight="false" outlineLevel="0" collapsed="false">
      <c r="I206" s="11" t="str">
        <f aca="false">IF(OR(G206="",H206=""),"",IF(MATCH(G206,{"Low","Medium","High"},0)*MATCH(H206,{"Low","Medium","High","Critical"},0)&gt;=9,"Critical",IF(MATCH(G206,{"Low","Medium","High"},0)*MATCH(H206,{"Low","Medium","High","Critical"},0)&gt;=6,"High",IF(MATCH(G206,{"Low","Medium","High"},0)*MATCH(H206,{"Low","Medium","High","Critical"},0)&gt;=3,"Medium","Low"))))</f>
        <v/>
      </c>
    </row>
    <row r="207" customFormat="false" ht="15" hidden="false" customHeight="false" outlineLevel="0" collapsed="false">
      <c r="I207" s="11" t="str">
        <f aca="false">IF(OR(G207="",H207=""),"",IF(MATCH(G207,{"Low","Medium","High"},0)*MATCH(H207,{"Low","Medium","High","Critical"},0)&gt;=9,"Critical",IF(MATCH(G207,{"Low","Medium","High"},0)*MATCH(H207,{"Low","Medium","High","Critical"},0)&gt;=6,"High",IF(MATCH(G207,{"Low","Medium","High"},0)*MATCH(H207,{"Low","Medium","High","Critical"},0)&gt;=3,"Medium","Low"))))</f>
        <v/>
      </c>
    </row>
    <row r="208" customFormat="false" ht="15" hidden="false" customHeight="false" outlineLevel="0" collapsed="false">
      <c r="I208" s="11" t="str">
        <f aca="false">IF(OR(G208="",H208=""),"",IF(MATCH(G208,{"Low","Medium","High"},0)*MATCH(H208,{"Low","Medium","High","Critical"},0)&gt;=9,"Critical",IF(MATCH(G208,{"Low","Medium","High"},0)*MATCH(H208,{"Low","Medium","High","Critical"},0)&gt;=6,"High",IF(MATCH(G208,{"Low","Medium","High"},0)*MATCH(H208,{"Low","Medium","High","Critical"},0)&gt;=3,"Medium","Low"))))</f>
        <v/>
      </c>
    </row>
    <row r="209" customFormat="false" ht="15" hidden="false" customHeight="false" outlineLevel="0" collapsed="false">
      <c r="I209" s="11" t="str">
        <f aca="false">IF(OR(G209="",H209=""),"",IF(MATCH(G209,{"Low","Medium","High"},0)*MATCH(H209,{"Low","Medium","High","Critical"},0)&gt;=9,"Critical",IF(MATCH(G209,{"Low","Medium","High"},0)*MATCH(H209,{"Low","Medium","High","Critical"},0)&gt;=6,"High",IF(MATCH(G209,{"Low","Medium","High"},0)*MATCH(H209,{"Low","Medium","High","Critical"},0)&gt;=3,"Medium","Low"))))</f>
        <v/>
      </c>
    </row>
    <row r="210" customFormat="false" ht="15" hidden="false" customHeight="false" outlineLevel="0" collapsed="false">
      <c r="I210" s="11" t="str">
        <f aca="false">IF(OR(G210="",H210=""),"",IF(MATCH(G210,{"Low","Medium","High"},0)*MATCH(H210,{"Low","Medium","High","Critical"},0)&gt;=9,"Critical",IF(MATCH(G210,{"Low","Medium","High"},0)*MATCH(H210,{"Low","Medium","High","Critical"},0)&gt;=6,"High",IF(MATCH(G210,{"Low","Medium","High"},0)*MATCH(H210,{"Low","Medium","High","Critical"},0)&gt;=3,"Medium","Low"))))</f>
        <v/>
      </c>
    </row>
    <row r="211" customFormat="false" ht="15" hidden="false" customHeight="false" outlineLevel="0" collapsed="false">
      <c r="I211" s="11" t="str">
        <f aca="false">IF(OR(G211="",H211=""),"",IF(MATCH(G211,{"Low","Medium","High"},0)*MATCH(H211,{"Low","Medium","High","Critical"},0)&gt;=9,"Critical",IF(MATCH(G211,{"Low","Medium","High"},0)*MATCH(H211,{"Low","Medium","High","Critical"},0)&gt;=6,"High",IF(MATCH(G211,{"Low","Medium","High"},0)*MATCH(H211,{"Low","Medium","High","Critical"},0)&gt;=3,"Medium","Low"))))</f>
        <v/>
      </c>
    </row>
    <row r="212" customFormat="false" ht="15" hidden="false" customHeight="false" outlineLevel="0" collapsed="false">
      <c r="I212" s="11" t="str">
        <f aca="false">IF(OR(G212="",H212=""),"",IF(MATCH(G212,{"Low","Medium","High"},0)*MATCH(H212,{"Low","Medium","High","Critical"},0)&gt;=9,"Critical",IF(MATCH(G212,{"Low","Medium","High"},0)*MATCH(H212,{"Low","Medium","High","Critical"},0)&gt;=6,"High",IF(MATCH(G212,{"Low","Medium","High"},0)*MATCH(H212,{"Low","Medium","High","Critical"},0)&gt;=3,"Medium","Low"))))</f>
        <v/>
      </c>
    </row>
    <row r="213" customFormat="false" ht="15" hidden="false" customHeight="false" outlineLevel="0" collapsed="false">
      <c r="I213" s="11" t="str">
        <f aca="false">IF(OR(G213="",H213=""),"",IF(MATCH(G213,{"Low","Medium","High"},0)*MATCH(H213,{"Low","Medium","High","Critical"},0)&gt;=9,"Critical",IF(MATCH(G213,{"Low","Medium","High"},0)*MATCH(H213,{"Low","Medium","High","Critical"},0)&gt;=6,"High",IF(MATCH(G213,{"Low","Medium","High"},0)*MATCH(H213,{"Low","Medium","High","Critical"},0)&gt;=3,"Medium","Low"))))</f>
        <v/>
      </c>
    </row>
    <row r="214" customFormat="false" ht="15" hidden="false" customHeight="false" outlineLevel="0" collapsed="false">
      <c r="I214" s="11" t="str">
        <f aca="false">IF(OR(G214="",H214=""),"",IF(MATCH(G214,{"Low","Medium","High"},0)*MATCH(H214,{"Low","Medium","High","Critical"},0)&gt;=9,"Critical",IF(MATCH(G214,{"Low","Medium","High"},0)*MATCH(H214,{"Low","Medium","High","Critical"},0)&gt;=6,"High",IF(MATCH(G214,{"Low","Medium","High"},0)*MATCH(H214,{"Low","Medium","High","Critical"},0)&gt;=3,"Medium","Low"))))</f>
        <v/>
      </c>
    </row>
    <row r="215" customFormat="false" ht="15" hidden="false" customHeight="false" outlineLevel="0" collapsed="false">
      <c r="I215" s="11" t="str">
        <f aca="false">IF(OR(G215="",H215=""),"",IF(MATCH(G215,{"Low","Medium","High"},0)*MATCH(H215,{"Low","Medium","High","Critical"},0)&gt;=9,"Critical",IF(MATCH(G215,{"Low","Medium","High"},0)*MATCH(H215,{"Low","Medium","High","Critical"},0)&gt;=6,"High",IF(MATCH(G215,{"Low","Medium","High"},0)*MATCH(H215,{"Low","Medium","High","Critical"},0)&gt;=3,"Medium","Low"))))</f>
        <v/>
      </c>
    </row>
    <row r="216" customFormat="false" ht="15" hidden="false" customHeight="false" outlineLevel="0" collapsed="false">
      <c r="I216" s="11" t="str">
        <f aca="false">IF(OR(G216="",H216=""),"",IF(MATCH(G216,{"Low","Medium","High"},0)*MATCH(H216,{"Low","Medium","High","Critical"},0)&gt;=9,"Critical",IF(MATCH(G216,{"Low","Medium","High"},0)*MATCH(H216,{"Low","Medium","High","Critical"},0)&gt;=6,"High",IF(MATCH(G216,{"Low","Medium","High"},0)*MATCH(H216,{"Low","Medium","High","Critical"},0)&gt;=3,"Medium","Low"))))</f>
        <v/>
      </c>
    </row>
    <row r="217" customFormat="false" ht="15" hidden="false" customHeight="false" outlineLevel="0" collapsed="false">
      <c r="I217" s="11" t="str">
        <f aca="false">IF(OR(G217="",H217=""),"",IF(MATCH(G217,{"Low","Medium","High"},0)*MATCH(H217,{"Low","Medium","High","Critical"},0)&gt;=9,"Critical",IF(MATCH(G217,{"Low","Medium","High"},0)*MATCH(H217,{"Low","Medium","High","Critical"},0)&gt;=6,"High",IF(MATCH(G217,{"Low","Medium","High"},0)*MATCH(H217,{"Low","Medium","High","Critical"},0)&gt;=3,"Medium","Low"))))</f>
        <v/>
      </c>
    </row>
    <row r="218" customFormat="false" ht="15" hidden="false" customHeight="false" outlineLevel="0" collapsed="false">
      <c r="I218" s="11" t="str">
        <f aca="false">IF(OR(G218="",H218=""),"",IF(MATCH(G218,{"Low","Medium","High"},0)*MATCH(H218,{"Low","Medium","High","Critical"},0)&gt;=9,"Critical",IF(MATCH(G218,{"Low","Medium","High"},0)*MATCH(H218,{"Low","Medium","High","Critical"},0)&gt;=6,"High",IF(MATCH(G218,{"Low","Medium","High"},0)*MATCH(H218,{"Low","Medium","High","Critical"},0)&gt;=3,"Medium","Low"))))</f>
        <v/>
      </c>
    </row>
    <row r="219" customFormat="false" ht="15" hidden="false" customHeight="false" outlineLevel="0" collapsed="false">
      <c r="I219" s="11" t="str">
        <f aca="false">IF(OR(G219="",H219=""),"",IF(MATCH(G219,{"Low","Medium","High"},0)*MATCH(H219,{"Low","Medium","High","Critical"},0)&gt;=9,"Critical",IF(MATCH(G219,{"Low","Medium","High"},0)*MATCH(H219,{"Low","Medium","High","Critical"},0)&gt;=6,"High",IF(MATCH(G219,{"Low","Medium","High"},0)*MATCH(H219,{"Low","Medium","High","Critical"},0)&gt;=3,"Medium","Low"))))</f>
        <v/>
      </c>
    </row>
    <row r="220" customFormat="false" ht="15" hidden="false" customHeight="false" outlineLevel="0" collapsed="false">
      <c r="I220" s="11" t="str">
        <f aca="false">IF(OR(G220="",H220=""),"",IF(MATCH(G220,{"Low","Medium","High"},0)*MATCH(H220,{"Low","Medium","High","Critical"},0)&gt;=9,"Critical",IF(MATCH(G220,{"Low","Medium","High"},0)*MATCH(H220,{"Low","Medium","High","Critical"},0)&gt;=6,"High",IF(MATCH(G220,{"Low","Medium","High"},0)*MATCH(H220,{"Low","Medium","High","Critical"},0)&gt;=3,"Medium","Low"))))</f>
        <v/>
      </c>
    </row>
    <row r="221" customFormat="false" ht="15" hidden="false" customHeight="false" outlineLevel="0" collapsed="false">
      <c r="I221" s="11" t="str">
        <f aca="false">IF(OR(G221="",H221=""),"",IF(MATCH(G221,{"Low","Medium","High"},0)*MATCH(H221,{"Low","Medium","High","Critical"},0)&gt;=9,"Critical",IF(MATCH(G221,{"Low","Medium","High"},0)*MATCH(H221,{"Low","Medium","High","Critical"},0)&gt;=6,"High",IF(MATCH(G221,{"Low","Medium","High"},0)*MATCH(H221,{"Low","Medium","High","Critical"},0)&gt;=3,"Medium","Low"))))</f>
        <v/>
      </c>
    </row>
    <row r="222" customFormat="false" ht="15" hidden="false" customHeight="false" outlineLevel="0" collapsed="false">
      <c r="I222" s="11" t="str">
        <f aca="false">IF(OR(G222="",H222=""),"",IF(MATCH(G222,{"Low","Medium","High"},0)*MATCH(H222,{"Low","Medium","High","Critical"},0)&gt;=9,"Critical",IF(MATCH(G222,{"Low","Medium","High"},0)*MATCH(H222,{"Low","Medium","High","Critical"},0)&gt;=6,"High",IF(MATCH(G222,{"Low","Medium","High"},0)*MATCH(H222,{"Low","Medium","High","Critical"},0)&gt;=3,"Medium","Low"))))</f>
        <v/>
      </c>
    </row>
    <row r="223" customFormat="false" ht="15" hidden="false" customHeight="false" outlineLevel="0" collapsed="false">
      <c r="I223" s="11" t="str">
        <f aca="false">IF(OR(G223="",H223=""),"",IF(MATCH(G223,{"Low","Medium","High"},0)*MATCH(H223,{"Low","Medium","High","Critical"},0)&gt;=9,"Critical",IF(MATCH(G223,{"Low","Medium","High"},0)*MATCH(H223,{"Low","Medium","High","Critical"},0)&gt;=6,"High",IF(MATCH(G223,{"Low","Medium","High"},0)*MATCH(H223,{"Low","Medium","High","Critical"},0)&gt;=3,"Medium","Low"))))</f>
        <v/>
      </c>
    </row>
    <row r="224" customFormat="false" ht="15" hidden="false" customHeight="false" outlineLevel="0" collapsed="false">
      <c r="I224" s="11" t="str">
        <f aca="false">IF(OR(G224="",H224=""),"",IF(MATCH(G224,{"Low","Medium","High"},0)*MATCH(H224,{"Low","Medium","High","Critical"},0)&gt;=9,"Critical",IF(MATCH(G224,{"Low","Medium","High"},0)*MATCH(H224,{"Low","Medium","High","Critical"},0)&gt;=6,"High",IF(MATCH(G224,{"Low","Medium","High"},0)*MATCH(H224,{"Low","Medium","High","Critical"},0)&gt;=3,"Medium","Low"))))</f>
        <v/>
      </c>
    </row>
    <row r="225" customFormat="false" ht="15" hidden="false" customHeight="false" outlineLevel="0" collapsed="false">
      <c r="I225" s="11" t="str">
        <f aca="false">IF(OR(G225="",H225=""),"",IF(MATCH(G225,{"Low","Medium","High"},0)*MATCH(H225,{"Low","Medium","High","Critical"},0)&gt;=9,"Critical",IF(MATCH(G225,{"Low","Medium","High"},0)*MATCH(H225,{"Low","Medium","High","Critical"},0)&gt;=6,"High",IF(MATCH(G225,{"Low","Medium","High"},0)*MATCH(H225,{"Low","Medium","High","Critical"},0)&gt;=3,"Medium","Low"))))</f>
        <v/>
      </c>
    </row>
    <row r="226" customFormat="false" ht="15" hidden="false" customHeight="false" outlineLevel="0" collapsed="false">
      <c r="I226" s="11" t="str">
        <f aca="false">IF(OR(G226="",H226=""),"",IF(MATCH(G226,{"Low","Medium","High"},0)*MATCH(H226,{"Low","Medium","High","Critical"},0)&gt;=9,"Critical",IF(MATCH(G226,{"Low","Medium","High"},0)*MATCH(H226,{"Low","Medium","High","Critical"},0)&gt;=6,"High",IF(MATCH(G226,{"Low","Medium","High"},0)*MATCH(H226,{"Low","Medium","High","Critical"},0)&gt;=3,"Medium","Low"))))</f>
        <v/>
      </c>
    </row>
    <row r="227" customFormat="false" ht="15" hidden="false" customHeight="false" outlineLevel="0" collapsed="false">
      <c r="I227" s="11" t="str">
        <f aca="false">IF(OR(G227="",H227=""),"",IF(MATCH(G227,{"Low","Medium","High"},0)*MATCH(H227,{"Low","Medium","High","Critical"},0)&gt;=9,"Critical",IF(MATCH(G227,{"Low","Medium","High"},0)*MATCH(H227,{"Low","Medium","High","Critical"},0)&gt;=6,"High",IF(MATCH(G227,{"Low","Medium","High"},0)*MATCH(H227,{"Low","Medium","High","Critical"},0)&gt;=3,"Medium","Low"))))</f>
        <v/>
      </c>
    </row>
    <row r="228" customFormat="false" ht="15" hidden="false" customHeight="false" outlineLevel="0" collapsed="false">
      <c r="I228" s="11" t="str">
        <f aca="false">IF(OR(G228="",H228=""),"",IF(MATCH(G228,{"Low","Medium","High"},0)*MATCH(H228,{"Low","Medium","High","Critical"},0)&gt;=9,"Critical",IF(MATCH(G228,{"Low","Medium","High"},0)*MATCH(H228,{"Low","Medium","High","Critical"},0)&gt;=6,"High",IF(MATCH(G228,{"Low","Medium","High"},0)*MATCH(H228,{"Low","Medium","High","Critical"},0)&gt;=3,"Medium","Low"))))</f>
        <v/>
      </c>
    </row>
    <row r="229" customFormat="false" ht="15" hidden="false" customHeight="false" outlineLevel="0" collapsed="false">
      <c r="I229" s="11" t="str">
        <f aca="false">IF(OR(G229="",H229=""),"",IF(MATCH(G229,{"Low","Medium","High"},0)*MATCH(H229,{"Low","Medium","High","Critical"},0)&gt;=9,"Critical",IF(MATCH(G229,{"Low","Medium","High"},0)*MATCH(H229,{"Low","Medium","High","Critical"},0)&gt;=6,"High",IF(MATCH(G229,{"Low","Medium","High"},0)*MATCH(H229,{"Low","Medium","High","Critical"},0)&gt;=3,"Medium","Low"))))</f>
        <v/>
      </c>
    </row>
    <row r="230" customFormat="false" ht="15" hidden="false" customHeight="false" outlineLevel="0" collapsed="false">
      <c r="I230" s="11" t="str">
        <f aca="false">IF(OR(G230="",H230=""),"",IF(MATCH(G230,{"Low","Medium","High"},0)*MATCH(H230,{"Low","Medium","High","Critical"},0)&gt;=9,"Critical",IF(MATCH(G230,{"Low","Medium","High"},0)*MATCH(H230,{"Low","Medium","High","Critical"},0)&gt;=6,"High",IF(MATCH(G230,{"Low","Medium","High"},0)*MATCH(H230,{"Low","Medium","High","Critical"},0)&gt;=3,"Medium","Low"))))</f>
        <v/>
      </c>
    </row>
    <row r="231" customFormat="false" ht="15" hidden="false" customHeight="false" outlineLevel="0" collapsed="false">
      <c r="I231" s="11" t="str">
        <f aca="false">IF(OR(G231="",H231=""),"",IF(MATCH(G231,{"Low","Medium","High"},0)*MATCH(H231,{"Low","Medium","High","Critical"},0)&gt;=9,"Critical",IF(MATCH(G231,{"Low","Medium","High"},0)*MATCH(H231,{"Low","Medium","High","Critical"},0)&gt;=6,"High",IF(MATCH(G231,{"Low","Medium","High"},0)*MATCH(H231,{"Low","Medium","High","Critical"},0)&gt;=3,"Medium","Low"))))</f>
        <v/>
      </c>
    </row>
    <row r="232" customFormat="false" ht="15" hidden="false" customHeight="false" outlineLevel="0" collapsed="false">
      <c r="I232" s="11" t="str">
        <f aca="false">IF(OR(G232="",H232=""),"",IF(MATCH(G232,{"Low","Medium","High"},0)*MATCH(H232,{"Low","Medium","High","Critical"},0)&gt;=9,"Critical",IF(MATCH(G232,{"Low","Medium","High"},0)*MATCH(H232,{"Low","Medium","High","Critical"},0)&gt;=6,"High",IF(MATCH(G232,{"Low","Medium","High"},0)*MATCH(H232,{"Low","Medium","High","Critical"},0)&gt;=3,"Medium","Low"))))</f>
        <v/>
      </c>
    </row>
    <row r="233" customFormat="false" ht="15" hidden="false" customHeight="false" outlineLevel="0" collapsed="false">
      <c r="I233" s="11" t="str">
        <f aca="false">IF(OR(G233="",H233=""),"",IF(MATCH(G233,{"Low","Medium","High"},0)*MATCH(H233,{"Low","Medium","High","Critical"},0)&gt;=9,"Critical",IF(MATCH(G233,{"Low","Medium","High"},0)*MATCH(H233,{"Low","Medium","High","Critical"},0)&gt;=6,"High",IF(MATCH(G233,{"Low","Medium","High"},0)*MATCH(H233,{"Low","Medium","High","Critical"},0)&gt;=3,"Medium","Low"))))</f>
        <v/>
      </c>
    </row>
    <row r="234" customFormat="false" ht="15" hidden="false" customHeight="false" outlineLevel="0" collapsed="false">
      <c r="I234" s="11" t="str">
        <f aca="false">IF(OR(G234="",H234=""),"",IF(MATCH(G234,{"Low","Medium","High"},0)*MATCH(H234,{"Low","Medium","High","Critical"},0)&gt;=9,"Critical",IF(MATCH(G234,{"Low","Medium","High"},0)*MATCH(H234,{"Low","Medium","High","Critical"},0)&gt;=6,"High",IF(MATCH(G234,{"Low","Medium","High"},0)*MATCH(H234,{"Low","Medium","High","Critical"},0)&gt;=3,"Medium","Low"))))</f>
        <v/>
      </c>
    </row>
    <row r="235" customFormat="false" ht="15" hidden="false" customHeight="false" outlineLevel="0" collapsed="false">
      <c r="I235" s="11" t="str">
        <f aca="false">IF(OR(G235="",H235=""),"",IF(MATCH(G235,{"Low","Medium","High"},0)*MATCH(H235,{"Low","Medium","High","Critical"},0)&gt;=9,"Critical",IF(MATCH(G235,{"Low","Medium","High"},0)*MATCH(H235,{"Low","Medium","High","Critical"},0)&gt;=6,"High",IF(MATCH(G235,{"Low","Medium","High"},0)*MATCH(H235,{"Low","Medium","High","Critical"},0)&gt;=3,"Medium","Low"))))</f>
        <v/>
      </c>
    </row>
    <row r="236" customFormat="false" ht="15" hidden="false" customHeight="false" outlineLevel="0" collapsed="false">
      <c r="I236" s="11" t="str">
        <f aca="false">IF(OR(G236="",H236=""),"",IF(MATCH(G236,{"Low","Medium","High"},0)*MATCH(H236,{"Low","Medium","High","Critical"},0)&gt;=9,"Critical",IF(MATCH(G236,{"Low","Medium","High"},0)*MATCH(H236,{"Low","Medium","High","Critical"},0)&gt;=6,"High",IF(MATCH(G236,{"Low","Medium","High"},0)*MATCH(H236,{"Low","Medium","High","Critical"},0)&gt;=3,"Medium","Low"))))</f>
        <v/>
      </c>
    </row>
    <row r="237" customFormat="false" ht="15" hidden="false" customHeight="false" outlineLevel="0" collapsed="false">
      <c r="I237" s="11" t="str">
        <f aca="false">IF(OR(G237="",H237=""),"",IF(MATCH(G237,{"Low","Medium","High"},0)*MATCH(H237,{"Low","Medium","High","Critical"},0)&gt;=9,"Critical",IF(MATCH(G237,{"Low","Medium","High"},0)*MATCH(H237,{"Low","Medium","High","Critical"},0)&gt;=6,"High",IF(MATCH(G237,{"Low","Medium","High"},0)*MATCH(H237,{"Low","Medium","High","Critical"},0)&gt;=3,"Medium","Low"))))</f>
        <v/>
      </c>
    </row>
    <row r="238" customFormat="false" ht="15" hidden="false" customHeight="false" outlineLevel="0" collapsed="false">
      <c r="I238" s="11" t="str">
        <f aca="false">IF(OR(G238="",H238=""),"",IF(MATCH(G238,{"Low","Medium","High"},0)*MATCH(H238,{"Low","Medium","High","Critical"},0)&gt;=9,"Critical",IF(MATCH(G238,{"Low","Medium","High"},0)*MATCH(H238,{"Low","Medium","High","Critical"},0)&gt;=6,"High",IF(MATCH(G238,{"Low","Medium","High"},0)*MATCH(H238,{"Low","Medium","High","Critical"},0)&gt;=3,"Medium","Low"))))</f>
        <v/>
      </c>
    </row>
    <row r="239" customFormat="false" ht="15" hidden="false" customHeight="false" outlineLevel="0" collapsed="false">
      <c r="I239" s="11" t="str">
        <f aca="false">IF(OR(G239="",H239=""),"",IF(MATCH(G239,{"Low","Medium","High"},0)*MATCH(H239,{"Low","Medium","High","Critical"},0)&gt;=9,"Critical",IF(MATCH(G239,{"Low","Medium","High"},0)*MATCH(H239,{"Low","Medium","High","Critical"},0)&gt;=6,"High",IF(MATCH(G239,{"Low","Medium","High"},0)*MATCH(H239,{"Low","Medium","High","Critical"},0)&gt;=3,"Medium","Low"))))</f>
        <v/>
      </c>
    </row>
    <row r="240" customFormat="false" ht="15" hidden="false" customHeight="false" outlineLevel="0" collapsed="false">
      <c r="I240" s="11" t="str">
        <f aca="false">IF(OR(G240="",H240=""),"",IF(MATCH(G240,{"Low","Medium","High"},0)*MATCH(H240,{"Low","Medium","High","Critical"},0)&gt;=9,"Critical",IF(MATCH(G240,{"Low","Medium","High"},0)*MATCH(H240,{"Low","Medium","High","Critical"},0)&gt;=6,"High",IF(MATCH(G240,{"Low","Medium","High"},0)*MATCH(H240,{"Low","Medium","High","Critical"},0)&gt;=3,"Medium","Low"))))</f>
        <v/>
      </c>
    </row>
    <row r="241" customFormat="false" ht="15" hidden="false" customHeight="false" outlineLevel="0" collapsed="false">
      <c r="I241" s="11" t="str">
        <f aca="false">IF(OR(G241="",H241=""),"",IF(MATCH(G241,{"Low","Medium","High"},0)*MATCH(H241,{"Low","Medium","High","Critical"},0)&gt;=9,"Critical",IF(MATCH(G241,{"Low","Medium","High"},0)*MATCH(H241,{"Low","Medium","High","Critical"},0)&gt;=6,"High",IF(MATCH(G241,{"Low","Medium","High"},0)*MATCH(H241,{"Low","Medium","High","Critical"},0)&gt;=3,"Medium","Low"))))</f>
        <v/>
      </c>
    </row>
    <row r="242" customFormat="false" ht="15" hidden="false" customHeight="false" outlineLevel="0" collapsed="false">
      <c r="I242" s="11" t="str">
        <f aca="false">IF(OR(G242="",H242=""),"",IF(MATCH(G242,{"Low","Medium","High"},0)*MATCH(H242,{"Low","Medium","High","Critical"},0)&gt;=9,"Critical",IF(MATCH(G242,{"Low","Medium","High"},0)*MATCH(H242,{"Low","Medium","High","Critical"},0)&gt;=6,"High",IF(MATCH(G242,{"Low","Medium","High"},0)*MATCH(H242,{"Low","Medium","High","Critical"},0)&gt;=3,"Medium","Low"))))</f>
        <v/>
      </c>
    </row>
    <row r="243" customFormat="false" ht="15" hidden="false" customHeight="false" outlineLevel="0" collapsed="false">
      <c r="I243" s="11" t="str">
        <f aca="false">IF(OR(G243="",H243=""),"",IF(MATCH(G243,{"Low","Medium","High"},0)*MATCH(H243,{"Low","Medium","High","Critical"},0)&gt;=9,"Critical",IF(MATCH(G243,{"Low","Medium","High"},0)*MATCH(H243,{"Low","Medium","High","Critical"},0)&gt;=6,"High",IF(MATCH(G243,{"Low","Medium","High"},0)*MATCH(H243,{"Low","Medium","High","Critical"},0)&gt;=3,"Medium","Low"))))</f>
        <v/>
      </c>
    </row>
    <row r="244" customFormat="false" ht="15" hidden="false" customHeight="false" outlineLevel="0" collapsed="false">
      <c r="I244" s="11" t="str">
        <f aca="false">IF(OR(G244="",H244=""),"",IF(MATCH(G244,{"Low","Medium","High"},0)*MATCH(H244,{"Low","Medium","High","Critical"},0)&gt;=9,"Critical",IF(MATCH(G244,{"Low","Medium","High"},0)*MATCH(H244,{"Low","Medium","High","Critical"},0)&gt;=6,"High",IF(MATCH(G244,{"Low","Medium","High"},0)*MATCH(H244,{"Low","Medium","High","Critical"},0)&gt;=3,"Medium","Low"))))</f>
        <v/>
      </c>
    </row>
    <row r="245" customFormat="false" ht="15" hidden="false" customHeight="false" outlineLevel="0" collapsed="false">
      <c r="I245" s="11" t="str">
        <f aca="false">IF(OR(G245="",H245=""),"",IF(MATCH(G245,{"Low","Medium","High"},0)*MATCH(H245,{"Low","Medium","High","Critical"},0)&gt;=9,"Critical",IF(MATCH(G245,{"Low","Medium","High"},0)*MATCH(H245,{"Low","Medium","High","Critical"},0)&gt;=6,"High",IF(MATCH(G245,{"Low","Medium","High"},0)*MATCH(H245,{"Low","Medium","High","Critical"},0)&gt;=3,"Medium","Low"))))</f>
        <v/>
      </c>
    </row>
    <row r="246" customFormat="false" ht="15" hidden="false" customHeight="false" outlineLevel="0" collapsed="false">
      <c r="I246" s="11" t="str">
        <f aca="false">IF(OR(G246="",H246=""),"",IF(MATCH(G246,{"Low","Medium","High"},0)*MATCH(H246,{"Low","Medium","High","Critical"},0)&gt;=9,"Critical",IF(MATCH(G246,{"Low","Medium","High"},0)*MATCH(H246,{"Low","Medium","High","Critical"},0)&gt;=6,"High",IF(MATCH(G246,{"Low","Medium","High"},0)*MATCH(H246,{"Low","Medium","High","Critical"},0)&gt;=3,"Medium","Low"))))</f>
        <v/>
      </c>
    </row>
    <row r="247" customFormat="false" ht="15" hidden="false" customHeight="false" outlineLevel="0" collapsed="false">
      <c r="I247" s="11" t="str">
        <f aca="false">IF(OR(G247="",H247=""),"",IF(MATCH(G247,{"Low","Medium","High"},0)*MATCH(H247,{"Low","Medium","High","Critical"},0)&gt;=9,"Critical",IF(MATCH(G247,{"Low","Medium","High"},0)*MATCH(H247,{"Low","Medium","High","Critical"},0)&gt;=6,"High",IF(MATCH(G247,{"Low","Medium","High"},0)*MATCH(H247,{"Low","Medium","High","Critical"},0)&gt;=3,"Medium","Low"))))</f>
        <v/>
      </c>
    </row>
    <row r="248" customFormat="false" ht="15" hidden="false" customHeight="false" outlineLevel="0" collapsed="false">
      <c r="I248" s="11" t="str">
        <f aca="false">IF(OR(G248="",H248=""),"",IF(MATCH(G248,{"Low","Medium","High"},0)*MATCH(H248,{"Low","Medium","High","Critical"},0)&gt;=9,"Critical",IF(MATCH(G248,{"Low","Medium","High"},0)*MATCH(H248,{"Low","Medium","High","Critical"},0)&gt;=6,"High",IF(MATCH(G248,{"Low","Medium","High"},0)*MATCH(H248,{"Low","Medium","High","Critical"},0)&gt;=3,"Medium","Low"))))</f>
        <v/>
      </c>
    </row>
    <row r="249" customFormat="false" ht="15" hidden="false" customHeight="false" outlineLevel="0" collapsed="false">
      <c r="I249" s="11" t="str">
        <f aca="false">IF(OR(G249="",H249=""),"",IF(MATCH(G249,{"Low","Medium","High"},0)*MATCH(H249,{"Low","Medium","High","Critical"},0)&gt;=9,"Critical",IF(MATCH(G249,{"Low","Medium","High"},0)*MATCH(H249,{"Low","Medium","High","Critical"},0)&gt;=6,"High",IF(MATCH(G249,{"Low","Medium","High"},0)*MATCH(H249,{"Low","Medium","High","Critical"},0)&gt;=3,"Medium","Low"))))</f>
        <v/>
      </c>
    </row>
    <row r="250" customFormat="false" ht="15" hidden="false" customHeight="false" outlineLevel="0" collapsed="false">
      <c r="I250" s="11" t="str">
        <f aca="false">IF(OR(G250="",H250=""),"",IF(MATCH(G250,{"Low","Medium","High"},0)*MATCH(H250,{"Low","Medium","High","Critical"},0)&gt;=9,"Critical",IF(MATCH(G250,{"Low","Medium","High"},0)*MATCH(H250,{"Low","Medium","High","Critical"},0)&gt;=6,"High",IF(MATCH(G250,{"Low","Medium","High"},0)*MATCH(H250,{"Low","Medium","High","Critical"},0)&gt;=3,"Medium","Low"))))</f>
        <v/>
      </c>
    </row>
    <row r="251" customFormat="false" ht="15" hidden="false" customHeight="false" outlineLevel="0" collapsed="false">
      <c r="I251" s="11" t="str">
        <f aca="false">IF(OR(G251="",H251=""),"",IF(MATCH(G251,{"Low","Medium","High"},0)*MATCH(H251,{"Low","Medium","High","Critical"},0)&gt;=9,"Critical",IF(MATCH(G251,{"Low","Medium","High"},0)*MATCH(H251,{"Low","Medium","High","Critical"},0)&gt;=6,"High",IF(MATCH(G251,{"Low","Medium","High"},0)*MATCH(H251,{"Low","Medium","High","Critical"},0)&gt;=3,"Medium","Low"))))</f>
        <v/>
      </c>
    </row>
    <row r="252" customFormat="false" ht="15" hidden="false" customHeight="false" outlineLevel="0" collapsed="false">
      <c r="I252" s="11" t="str">
        <f aca="false">IF(OR(G252="",H252=""),"",IF(MATCH(G252,{"Low","Medium","High"},0)*MATCH(H252,{"Low","Medium","High","Critical"},0)&gt;=9,"Critical",IF(MATCH(G252,{"Low","Medium","High"},0)*MATCH(H252,{"Low","Medium","High","Critical"},0)&gt;=6,"High",IF(MATCH(G252,{"Low","Medium","High"},0)*MATCH(H252,{"Low","Medium","High","Critical"},0)&gt;=3,"Medium","Low"))))</f>
        <v/>
      </c>
    </row>
    <row r="253" customFormat="false" ht="15" hidden="false" customHeight="false" outlineLevel="0" collapsed="false">
      <c r="I253" s="11" t="str">
        <f aca="false">IF(OR(G253="",H253=""),"",IF(MATCH(G253,{"Low","Medium","High"},0)*MATCH(H253,{"Low","Medium","High","Critical"},0)&gt;=9,"Critical",IF(MATCH(G253,{"Low","Medium","High"},0)*MATCH(H253,{"Low","Medium","High","Critical"},0)&gt;=6,"High",IF(MATCH(G253,{"Low","Medium","High"},0)*MATCH(H253,{"Low","Medium","High","Critical"},0)&gt;=3,"Medium","Low"))))</f>
        <v/>
      </c>
    </row>
    <row r="254" customFormat="false" ht="15" hidden="false" customHeight="false" outlineLevel="0" collapsed="false">
      <c r="I254" s="11" t="str">
        <f aca="false">IF(OR(G254="",H254=""),"",IF(MATCH(G254,{"Low","Medium","High"},0)*MATCH(H254,{"Low","Medium","High","Critical"},0)&gt;=9,"Critical",IF(MATCH(G254,{"Low","Medium","High"},0)*MATCH(H254,{"Low","Medium","High","Critical"},0)&gt;=6,"High",IF(MATCH(G254,{"Low","Medium","High"},0)*MATCH(H254,{"Low","Medium","High","Critical"},0)&gt;=3,"Medium","Low"))))</f>
        <v/>
      </c>
    </row>
    <row r="255" customFormat="false" ht="15" hidden="false" customHeight="false" outlineLevel="0" collapsed="false">
      <c r="I255" s="11" t="str">
        <f aca="false">IF(OR(G255="",H255=""),"",IF(MATCH(G255,{"Low","Medium","High"},0)*MATCH(H255,{"Low","Medium","High","Critical"},0)&gt;=9,"Critical",IF(MATCH(G255,{"Low","Medium","High"},0)*MATCH(H255,{"Low","Medium","High","Critical"},0)&gt;=6,"High",IF(MATCH(G255,{"Low","Medium","High"},0)*MATCH(H255,{"Low","Medium","High","Critical"},0)&gt;=3,"Medium","Low"))))</f>
        <v/>
      </c>
    </row>
    <row r="256" customFormat="false" ht="15" hidden="false" customHeight="false" outlineLevel="0" collapsed="false">
      <c r="I256" s="11" t="str">
        <f aca="false">IF(OR(G256="",H256=""),"",IF(MATCH(G256,{"Low","Medium","High"},0)*MATCH(H256,{"Low","Medium","High","Critical"},0)&gt;=9,"Critical",IF(MATCH(G256,{"Low","Medium","High"},0)*MATCH(H256,{"Low","Medium","High","Critical"},0)&gt;=6,"High",IF(MATCH(G256,{"Low","Medium","High"},0)*MATCH(H256,{"Low","Medium","High","Critical"},0)&gt;=3,"Medium","Low"))))</f>
        <v/>
      </c>
    </row>
    <row r="257" customFormat="false" ht="15" hidden="false" customHeight="false" outlineLevel="0" collapsed="false">
      <c r="I257" s="11" t="str">
        <f aca="false">IF(OR(G257="",H257=""),"",IF(MATCH(G257,{"Low","Medium","High"},0)*MATCH(H257,{"Low","Medium","High","Critical"},0)&gt;=9,"Critical",IF(MATCH(G257,{"Low","Medium","High"},0)*MATCH(H257,{"Low","Medium","High","Critical"},0)&gt;=6,"High",IF(MATCH(G257,{"Low","Medium","High"},0)*MATCH(H257,{"Low","Medium","High","Critical"},0)&gt;=3,"Medium","Low"))))</f>
        <v/>
      </c>
    </row>
    <row r="258" customFormat="false" ht="15" hidden="false" customHeight="false" outlineLevel="0" collapsed="false">
      <c r="I258" s="11" t="str">
        <f aca="false">IF(OR(G258="",H258=""),"",IF(MATCH(G258,{"Low","Medium","High"},0)*MATCH(H258,{"Low","Medium","High","Critical"},0)&gt;=9,"Critical",IF(MATCH(G258,{"Low","Medium","High"},0)*MATCH(H258,{"Low","Medium","High","Critical"},0)&gt;=6,"High",IF(MATCH(G258,{"Low","Medium","High"},0)*MATCH(H258,{"Low","Medium","High","Critical"},0)&gt;=3,"Medium","Low"))))</f>
        <v/>
      </c>
    </row>
    <row r="259" customFormat="false" ht="15" hidden="false" customHeight="false" outlineLevel="0" collapsed="false">
      <c r="I259" s="11" t="str">
        <f aca="false">IF(OR(G259="",H259=""),"",IF(MATCH(G259,{"Low","Medium","High"},0)*MATCH(H259,{"Low","Medium","High","Critical"},0)&gt;=9,"Critical",IF(MATCH(G259,{"Low","Medium","High"},0)*MATCH(H259,{"Low","Medium","High","Critical"},0)&gt;=6,"High",IF(MATCH(G259,{"Low","Medium","High"},0)*MATCH(H259,{"Low","Medium","High","Critical"},0)&gt;=3,"Medium","Low"))))</f>
        <v/>
      </c>
    </row>
    <row r="260" customFormat="false" ht="15" hidden="false" customHeight="false" outlineLevel="0" collapsed="false">
      <c r="I260" s="11" t="str">
        <f aca="false">IF(OR(G260="",H260=""),"",IF(MATCH(G260,{"Low","Medium","High"},0)*MATCH(H260,{"Low","Medium","High","Critical"},0)&gt;=9,"Critical",IF(MATCH(G260,{"Low","Medium","High"},0)*MATCH(H260,{"Low","Medium","High","Critical"},0)&gt;=6,"High",IF(MATCH(G260,{"Low","Medium","High"},0)*MATCH(H260,{"Low","Medium","High","Critical"},0)&gt;=3,"Medium","Low"))))</f>
        <v/>
      </c>
    </row>
    <row r="261" customFormat="false" ht="15" hidden="false" customHeight="false" outlineLevel="0" collapsed="false">
      <c r="I261" s="11" t="str">
        <f aca="false">IF(OR(G261="",H261=""),"",IF(MATCH(G261,{"Low","Medium","High"},0)*MATCH(H261,{"Low","Medium","High","Critical"},0)&gt;=9,"Critical",IF(MATCH(G261,{"Low","Medium","High"},0)*MATCH(H261,{"Low","Medium","High","Critical"},0)&gt;=6,"High",IF(MATCH(G261,{"Low","Medium","High"},0)*MATCH(H261,{"Low","Medium","High","Critical"},0)&gt;=3,"Medium","Low"))))</f>
        <v/>
      </c>
    </row>
    <row r="262" customFormat="false" ht="15" hidden="false" customHeight="false" outlineLevel="0" collapsed="false">
      <c r="I262" s="11" t="str">
        <f aca="false">IF(OR(G262="",H262=""),"",IF(MATCH(G262,{"Low","Medium","High"},0)*MATCH(H262,{"Low","Medium","High","Critical"},0)&gt;=9,"Critical",IF(MATCH(G262,{"Low","Medium","High"},0)*MATCH(H262,{"Low","Medium","High","Critical"},0)&gt;=6,"High",IF(MATCH(G262,{"Low","Medium","High"},0)*MATCH(H262,{"Low","Medium","High","Critical"},0)&gt;=3,"Medium","Low"))))</f>
        <v/>
      </c>
    </row>
    <row r="263" customFormat="false" ht="15" hidden="false" customHeight="false" outlineLevel="0" collapsed="false">
      <c r="I263" s="11" t="str">
        <f aca="false">IF(OR(G263="",H263=""),"",IF(MATCH(G263,{"Low","Medium","High"},0)*MATCH(H263,{"Low","Medium","High","Critical"},0)&gt;=9,"Critical",IF(MATCH(G263,{"Low","Medium","High"},0)*MATCH(H263,{"Low","Medium","High","Critical"},0)&gt;=6,"High",IF(MATCH(G263,{"Low","Medium","High"},0)*MATCH(H263,{"Low","Medium","High","Critical"},0)&gt;=3,"Medium","Low"))))</f>
        <v/>
      </c>
    </row>
    <row r="264" customFormat="false" ht="15" hidden="false" customHeight="false" outlineLevel="0" collapsed="false">
      <c r="I264" s="11" t="str">
        <f aca="false">IF(OR(G264="",H264=""),"",IF(MATCH(G264,{"Low","Medium","High"},0)*MATCH(H264,{"Low","Medium","High","Critical"},0)&gt;=9,"Critical",IF(MATCH(G264,{"Low","Medium","High"},0)*MATCH(H264,{"Low","Medium","High","Critical"},0)&gt;=6,"High",IF(MATCH(G264,{"Low","Medium","High"},0)*MATCH(H264,{"Low","Medium","High","Critical"},0)&gt;=3,"Medium","Low"))))</f>
        <v/>
      </c>
    </row>
    <row r="265" customFormat="false" ht="15" hidden="false" customHeight="false" outlineLevel="0" collapsed="false">
      <c r="I265" s="11" t="str">
        <f aca="false">IF(OR(G265="",H265=""),"",IF(MATCH(G265,{"Low","Medium","High"},0)*MATCH(H265,{"Low","Medium","High","Critical"},0)&gt;=9,"Critical",IF(MATCH(G265,{"Low","Medium","High"},0)*MATCH(H265,{"Low","Medium","High","Critical"},0)&gt;=6,"High",IF(MATCH(G265,{"Low","Medium","High"},0)*MATCH(H265,{"Low","Medium","High","Critical"},0)&gt;=3,"Medium","Low"))))</f>
        <v/>
      </c>
    </row>
    <row r="266" customFormat="false" ht="15" hidden="false" customHeight="false" outlineLevel="0" collapsed="false">
      <c r="I266" s="11" t="str">
        <f aca="false">IF(OR(G266="",H266=""),"",IF(MATCH(G266,{"Low","Medium","High"},0)*MATCH(H266,{"Low","Medium","High","Critical"},0)&gt;=9,"Critical",IF(MATCH(G266,{"Low","Medium","High"},0)*MATCH(H266,{"Low","Medium","High","Critical"},0)&gt;=6,"High",IF(MATCH(G266,{"Low","Medium","High"},0)*MATCH(H266,{"Low","Medium","High","Critical"},0)&gt;=3,"Medium","Low"))))</f>
        <v/>
      </c>
    </row>
    <row r="267" customFormat="false" ht="15" hidden="false" customHeight="false" outlineLevel="0" collapsed="false">
      <c r="I267" s="11" t="str">
        <f aca="false">IF(OR(G267="",H267=""),"",IF(MATCH(G267,{"Low","Medium","High"},0)*MATCH(H267,{"Low","Medium","High","Critical"},0)&gt;=9,"Critical",IF(MATCH(G267,{"Low","Medium","High"},0)*MATCH(H267,{"Low","Medium","High","Critical"},0)&gt;=6,"High",IF(MATCH(G267,{"Low","Medium","High"},0)*MATCH(H267,{"Low","Medium","High","Critical"},0)&gt;=3,"Medium","Low"))))</f>
        <v/>
      </c>
    </row>
    <row r="268" customFormat="false" ht="15" hidden="false" customHeight="false" outlineLevel="0" collapsed="false">
      <c r="I268" s="11" t="str">
        <f aca="false">IF(OR(G268="",H268=""),"",IF(MATCH(G268,{"Low","Medium","High"},0)*MATCH(H268,{"Low","Medium","High","Critical"},0)&gt;=9,"Critical",IF(MATCH(G268,{"Low","Medium","High"},0)*MATCH(H268,{"Low","Medium","High","Critical"},0)&gt;=6,"High",IF(MATCH(G268,{"Low","Medium","High"},0)*MATCH(H268,{"Low","Medium","High","Critical"},0)&gt;=3,"Medium","Low"))))</f>
        <v/>
      </c>
    </row>
    <row r="269" customFormat="false" ht="15" hidden="false" customHeight="false" outlineLevel="0" collapsed="false">
      <c r="I269" s="11" t="str">
        <f aca="false">IF(OR(G269="",H269=""),"",IF(MATCH(G269,{"Low","Medium","High"},0)*MATCH(H269,{"Low","Medium","High","Critical"},0)&gt;=9,"Critical",IF(MATCH(G269,{"Low","Medium","High"},0)*MATCH(H269,{"Low","Medium","High","Critical"},0)&gt;=6,"High",IF(MATCH(G269,{"Low","Medium","High"},0)*MATCH(H269,{"Low","Medium","High","Critical"},0)&gt;=3,"Medium","Low"))))</f>
        <v/>
      </c>
    </row>
    <row r="270" customFormat="false" ht="15" hidden="false" customHeight="false" outlineLevel="0" collapsed="false">
      <c r="I270" s="11" t="str">
        <f aca="false">IF(OR(G270="",H270=""),"",IF(MATCH(G270,{"Low","Medium","High"},0)*MATCH(H270,{"Low","Medium","High","Critical"},0)&gt;=9,"Critical",IF(MATCH(G270,{"Low","Medium","High"},0)*MATCH(H270,{"Low","Medium","High","Critical"},0)&gt;=6,"High",IF(MATCH(G270,{"Low","Medium","High"},0)*MATCH(H270,{"Low","Medium","High","Critical"},0)&gt;=3,"Medium","Low"))))</f>
        <v/>
      </c>
    </row>
    <row r="271" customFormat="false" ht="15" hidden="false" customHeight="false" outlineLevel="0" collapsed="false">
      <c r="I271" s="11" t="str">
        <f aca="false">IF(OR(G271="",H271=""),"",IF(MATCH(G271,{"Low","Medium","High"},0)*MATCH(H271,{"Low","Medium","High","Critical"},0)&gt;=9,"Critical",IF(MATCH(G271,{"Low","Medium","High"},0)*MATCH(H271,{"Low","Medium","High","Critical"},0)&gt;=6,"High",IF(MATCH(G271,{"Low","Medium","High"},0)*MATCH(H271,{"Low","Medium","High","Critical"},0)&gt;=3,"Medium","Low"))))</f>
        <v/>
      </c>
    </row>
    <row r="272" customFormat="false" ht="15" hidden="false" customHeight="false" outlineLevel="0" collapsed="false">
      <c r="I272" s="11" t="str">
        <f aca="false">IF(OR(G272="",H272=""),"",IF(MATCH(G272,{"Low","Medium","High"},0)*MATCH(H272,{"Low","Medium","High","Critical"},0)&gt;=9,"Critical",IF(MATCH(G272,{"Low","Medium","High"},0)*MATCH(H272,{"Low","Medium","High","Critical"},0)&gt;=6,"High",IF(MATCH(G272,{"Low","Medium","High"},0)*MATCH(H272,{"Low","Medium","High","Critical"},0)&gt;=3,"Medium","Low"))))</f>
        <v/>
      </c>
    </row>
    <row r="273" customFormat="false" ht="15" hidden="false" customHeight="false" outlineLevel="0" collapsed="false">
      <c r="I273" s="11" t="str">
        <f aca="false">IF(OR(G273="",H273=""),"",IF(MATCH(G273,{"Low","Medium","High"},0)*MATCH(H273,{"Low","Medium","High","Critical"},0)&gt;=9,"Critical",IF(MATCH(G273,{"Low","Medium","High"},0)*MATCH(H273,{"Low","Medium","High","Critical"},0)&gt;=6,"High",IF(MATCH(G273,{"Low","Medium","High"},0)*MATCH(H273,{"Low","Medium","High","Critical"},0)&gt;=3,"Medium","Low"))))</f>
        <v/>
      </c>
    </row>
    <row r="274" customFormat="false" ht="15" hidden="false" customHeight="false" outlineLevel="0" collapsed="false">
      <c r="I274" s="11" t="str">
        <f aca="false">IF(OR(G274="",H274=""),"",IF(MATCH(G274,{"Low","Medium","High"},0)*MATCH(H274,{"Low","Medium","High","Critical"},0)&gt;=9,"Critical",IF(MATCH(G274,{"Low","Medium","High"},0)*MATCH(H274,{"Low","Medium","High","Critical"},0)&gt;=6,"High",IF(MATCH(G274,{"Low","Medium","High"},0)*MATCH(H274,{"Low","Medium","High","Critical"},0)&gt;=3,"Medium","Low"))))</f>
        <v/>
      </c>
    </row>
    <row r="275" customFormat="false" ht="15" hidden="false" customHeight="false" outlineLevel="0" collapsed="false">
      <c r="I275" s="11" t="str">
        <f aca="false">IF(OR(G275="",H275=""),"",IF(MATCH(G275,{"Low","Medium","High"},0)*MATCH(H275,{"Low","Medium","High","Critical"},0)&gt;=9,"Critical",IF(MATCH(G275,{"Low","Medium","High"},0)*MATCH(H275,{"Low","Medium","High","Critical"},0)&gt;=6,"High",IF(MATCH(G275,{"Low","Medium","High"},0)*MATCH(H275,{"Low","Medium","High","Critical"},0)&gt;=3,"Medium","Low"))))</f>
        <v/>
      </c>
    </row>
    <row r="276" customFormat="false" ht="15" hidden="false" customHeight="false" outlineLevel="0" collapsed="false">
      <c r="I276" s="11" t="str">
        <f aca="false">IF(OR(G276="",H276=""),"",IF(MATCH(G276,{"Low","Medium","High"},0)*MATCH(H276,{"Low","Medium","High","Critical"},0)&gt;=9,"Critical",IF(MATCH(G276,{"Low","Medium","High"},0)*MATCH(H276,{"Low","Medium","High","Critical"},0)&gt;=6,"High",IF(MATCH(G276,{"Low","Medium","High"},0)*MATCH(H276,{"Low","Medium","High","Critical"},0)&gt;=3,"Medium","Low"))))</f>
        <v/>
      </c>
    </row>
    <row r="277" customFormat="false" ht="15" hidden="false" customHeight="false" outlineLevel="0" collapsed="false">
      <c r="I277" s="11" t="str">
        <f aca="false">IF(OR(G277="",H277=""),"",IF(MATCH(G277,{"Low","Medium","High"},0)*MATCH(H277,{"Low","Medium","High","Critical"},0)&gt;=9,"Critical",IF(MATCH(G277,{"Low","Medium","High"},0)*MATCH(H277,{"Low","Medium","High","Critical"},0)&gt;=6,"High",IF(MATCH(G277,{"Low","Medium","High"},0)*MATCH(H277,{"Low","Medium","High","Critical"},0)&gt;=3,"Medium","Low"))))</f>
        <v/>
      </c>
    </row>
    <row r="278" customFormat="false" ht="15" hidden="false" customHeight="false" outlineLevel="0" collapsed="false">
      <c r="I278" s="11" t="str">
        <f aca="false">IF(OR(G278="",H278=""),"",IF(MATCH(G278,{"Low","Medium","High"},0)*MATCH(H278,{"Low","Medium","High","Critical"},0)&gt;=9,"Critical",IF(MATCH(G278,{"Low","Medium","High"},0)*MATCH(H278,{"Low","Medium","High","Critical"},0)&gt;=6,"High",IF(MATCH(G278,{"Low","Medium","High"},0)*MATCH(H278,{"Low","Medium","High","Critical"},0)&gt;=3,"Medium","Low"))))</f>
        <v/>
      </c>
    </row>
    <row r="279" customFormat="false" ht="15" hidden="false" customHeight="false" outlineLevel="0" collapsed="false">
      <c r="I279" s="11" t="str">
        <f aca="false">IF(OR(G279="",H279=""),"",IF(MATCH(G279,{"Low","Medium","High"},0)*MATCH(H279,{"Low","Medium","High","Critical"},0)&gt;=9,"Critical",IF(MATCH(G279,{"Low","Medium","High"},0)*MATCH(H279,{"Low","Medium","High","Critical"},0)&gt;=6,"High",IF(MATCH(G279,{"Low","Medium","High"},0)*MATCH(H279,{"Low","Medium","High","Critical"},0)&gt;=3,"Medium","Low"))))</f>
        <v/>
      </c>
    </row>
    <row r="280" customFormat="false" ht="15" hidden="false" customHeight="false" outlineLevel="0" collapsed="false">
      <c r="I280" s="11" t="str">
        <f aca="false">IF(OR(G280="",H280=""),"",IF(MATCH(G280,{"Low","Medium","High"},0)*MATCH(H280,{"Low","Medium","High","Critical"},0)&gt;=9,"Critical",IF(MATCH(G280,{"Low","Medium","High"},0)*MATCH(H280,{"Low","Medium","High","Critical"},0)&gt;=6,"High",IF(MATCH(G280,{"Low","Medium","High"},0)*MATCH(H280,{"Low","Medium","High","Critical"},0)&gt;=3,"Medium","Low"))))</f>
        <v/>
      </c>
    </row>
    <row r="281" customFormat="false" ht="15" hidden="false" customHeight="false" outlineLevel="0" collapsed="false">
      <c r="I281" s="11" t="str">
        <f aca="false">IF(OR(G281="",H281=""),"",IF(MATCH(G281,{"Low","Medium","High"},0)*MATCH(H281,{"Low","Medium","High","Critical"},0)&gt;=9,"Critical",IF(MATCH(G281,{"Low","Medium","High"},0)*MATCH(H281,{"Low","Medium","High","Critical"},0)&gt;=6,"High",IF(MATCH(G281,{"Low","Medium","High"},0)*MATCH(H281,{"Low","Medium","High","Critical"},0)&gt;=3,"Medium","Low"))))</f>
        <v/>
      </c>
    </row>
    <row r="282" customFormat="false" ht="15" hidden="false" customHeight="false" outlineLevel="0" collapsed="false">
      <c r="I282" s="11" t="str">
        <f aca="false">IF(OR(G282="",H282=""),"",IF(MATCH(G282,{"Low","Medium","High"},0)*MATCH(H282,{"Low","Medium","High","Critical"},0)&gt;=9,"Critical",IF(MATCH(G282,{"Low","Medium","High"},0)*MATCH(H282,{"Low","Medium","High","Critical"},0)&gt;=6,"High",IF(MATCH(G282,{"Low","Medium","High"},0)*MATCH(H282,{"Low","Medium","High","Critical"},0)&gt;=3,"Medium","Low"))))</f>
        <v/>
      </c>
    </row>
    <row r="283" customFormat="false" ht="15" hidden="false" customHeight="false" outlineLevel="0" collapsed="false">
      <c r="I283" s="11" t="str">
        <f aca="false">IF(OR(G283="",H283=""),"",IF(MATCH(G283,{"Low","Medium","High"},0)*MATCH(H283,{"Low","Medium","High","Critical"},0)&gt;=9,"Critical",IF(MATCH(G283,{"Low","Medium","High"},0)*MATCH(H283,{"Low","Medium","High","Critical"},0)&gt;=6,"High",IF(MATCH(G283,{"Low","Medium","High"},0)*MATCH(H283,{"Low","Medium","High","Critical"},0)&gt;=3,"Medium","Low"))))</f>
        <v/>
      </c>
    </row>
    <row r="284" customFormat="false" ht="15" hidden="false" customHeight="false" outlineLevel="0" collapsed="false">
      <c r="I284" s="11" t="str">
        <f aca="false">IF(OR(G284="",H284=""),"",IF(MATCH(G284,{"Low","Medium","High"},0)*MATCH(H284,{"Low","Medium","High","Critical"},0)&gt;=9,"Critical",IF(MATCH(G284,{"Low","Medium","High"},0)*MATCH(H284,{"Low","Medium","High","Critical"},0)&gt;=6,"High",IF(MATCH(G284,{"Low","Medium","High"},0)*MATCH(H284,{"Low","Medium","High","Critical"},0)&gt;=3,"Medium","Low"))))</f>
        <v/>
      </c>
    </row>
    <row r="285" customFormat="false" ht="15" hidden="false" customHeight="false" outlineLevel="0" collapsed="false">
      <c r="I285" s="11" t="str">
        <f aca="false">IF(OR(G285="",H285=""),"",IF(MATCH(G285,{"Low","Medium","High"},0)*MATCH(H285,{"Low","Medium","High","Critical"},0)&gt;=9,"Critical",IF(MATCH(G285,{"Low","Medium","High"},0)*MATCH(H285,{"Low","Medium","High","Critical"},0)&gt;=6,"High",IF(MATCH(G285,{"Low","Medium","High"},0)*MATCH(H285,{"Low","Medium","High","Critical"},0)&gt;=3,"Medium","Low"))))</f>
        <v/>
      </c>
    </row>
    <row r="286" customFormat="false" ht="15" hidden="false" customHeight="false" outlineLevel="0" collapsed="false">
      <c r="I286" s="11" t="str">
        <f aca="false">IF(OR(G286="",H286=""),"",IF(MATCH(G286,{"Low","Medium","High"},0)*MATCH(H286,{"Low","Medium","High","Critical"},0)&gt;=9,"Critical",IF(MATCH(G286,{"Low","Medium","High"},0)*MATCH(H286,{"Low","Medium","High","Critical"},0)&gt;=6,"High",IF(MATCH(G286,{"Low","Medium","High"},0)*MATCH(H286,{"Low","Medium","High","Critical"},0)&gt;=3,"Medium","Low"))))</f>
        <v/>
      </c>
    </row>
    <row r="287" customFormat="false" ht="15" hidden="false" customHeight="false" outlineLevel="0" collapsed="false">
      <c r="I287" s="11" t="str">
        <f aca="false">IF(OR(G287="",H287=""),"",IF(MATCH(G287,{"Low","Medium","High"},0)*MATCH(H287,{"Low","Medium","High","Critical"},0)&gt;=9,"Critical",IF(MATCH(G287,{"Low","Medium","High"},0)*MATCH(H287,{"Low","Medium","High","Critical"},0)&gt;=6,"High",IF(MATCH(G287,{"Low","Medium","High"},0)*MATCH(H287,{"Low","Medium","High","Critical"},0)&gt;=3,"Medium","Low"))))</f>
        <v/>
      </c>
    </row>
    <row r="288" customFormat="false" ht="15" hidden="false" customHeight="false" outlineLevel="0" collapsed="false">
      <c r="I288" s="11" t="str">
        <f aca="false">IF(OR(G288="",H288=""),"",IF(MATCH(G288,{"Low","Medium","High"},0)*MATCH(H288,{"Low","Medium","High","Critical"},0)&gt;=9,"Critical",IF(MATCH(G288,{"Low","Medium","High"},0)*MATCH(H288,{"Low","Medium","High","Critical"},0)&gt;=6,"High",IF(MATCH(G288,{"Low","Medium","High"},0)*MATCH(H288,{"Low","Medium","High","Critical"},0)&gt;=3,"Medium","Low"))))</f>
        <v/>
      </c>
    </row>
    <row r="289" customFormat="false" ht="15" hidden="false" customHeight="false" outlineLevel="0" collapsed="false">
      <c r="I289" s="11" t="str">
        <f aca="false">IF(OR(G289="",H289=""),"",IF(MATCH(G289,{"Low","Medium","High"},0)*MATCH(H289,{"Low","Medium","High","Critical"},0)&gt;=9,"Critical",IF(MATCH(G289,{"Low","Medium","High"},0)*MATCH(H289,{"Low","Medium","High","Critical"},0)&gt;=6,"High",IF(MATCH(G289,{"Low","Medium","High"},0)*MATCH(H289,{"Low","Medium","High","Critical"},0)&gt;=3,"Medium","Low"))))</f>
        <v/>
      </c>
    </row>
    <row r="290" customFormat="false" ht="15" hidden="false" customHeight="false" outlineLevel="0" collapsed="false">
      <c r="I290" s="11" t="str">
        <f aca="false">IF(OR(G290="",H290=""),"",IF(MATCH(G290,{"Low","Medium","High"},0)*MATCH(H290,{"Low","Medium","High","Critical"},0)&gt;=9,"Critical",IF(MATCH(G290,{"Low","Medium","High"},0)*MATCH(H290,{"Low","Medium","High","Critical"},0)&gt;=6,"High",IF(MATCH(G290,{"Low","Medium","High"},0)*MATCH(H290,{"Low","Medium","High","Critical"},0)&gt;=3,"Medium","Low"))))</f>
        <v/>
      </c>
    </row>
    <row r="291" customFormat="false" ht="15" hidden="false" customHeight="false" outlineLevel="0" collapsed="false">
      <c r="I291" s="11" t="str">
        <f aca="false">IF(OR(G291="",H291=""),"",IF(MATCH(G291,{"Low","Medium","High"},0)*MATCH(H291,{"Low","Medium","High","Critical"},0)&gt;=9,"Critical",IF(MATCH(G291,{"Low","Medium","High"},0)*MATCH(H291,{"Low","Medium","High","Critical"},0)&gt;=6,"High",IF(MATCH(G291,{"Low","Medium","High"},0)*MATCH(H291,{"Low","Medium","High","Critical"},0)&gt;=3,"Medium","Low"))))</f>
        <v/>
      </c>
    </row>
    <row r="292" customFormat="false" ht="15" hidden="false" customHeight="false" outlineLevel="0" collapsed="false">
      <c r="I292" s="11" t="str">
        <f aca="false">IF(OR(G292="",H292=""),"",IF(MATCH(G292,{"Low","Medium","High"},0)*MATCH(H292,{"Low","Medium","High","Critical"},0)&gt;=9,"Critical",IF(MATCH(G292,{"Low","Medium","High"},0)*MATCH(H292,{"Low","Medium","High","Critical"},0)&gt;=6,"High",IF(MATCH(G292,{"Low","Medium","High"},0)*MATCH(H292,{"Low","Medium","High","Critical"},0)&gt;=3,"Medium","Low"))))</f>
        <v/>
      </c>
    </row>
    <row r="293" customFormat="false" ht="15" hidden="false" customHeight="false" outlineLevel="0" collapsed="false">
      <c r="I293" s="11" t="str">
        <f aca="false">IF(OR(G293="",H293=""),"",IF(MATCH(G293,{"Low","Medium","High"},0)*MATCH(H293,{"Low","Medium","High","Critical"},0)&gt;=9,"Critical",IF(MATCH(G293,{"Low","Medium","High"},0)*MATCH(H293,{"Low","Medium","High","Critical"},0)&gt;=6,"High",IF(MATCH(G293,{"Low","Medium","High"},0)*MATCH(H293,{"Low","Medium","High","Critical"},0)&gt;=3,"Medium","Low"))))</f>
        <v/>
      </c>
    </row>
    <row r="294" customFormat="false" ht="15" hidden="false" customHeight="false" outlineLevel="0" collapsed="false">
      <c r="I294" s="11" t="str">
        <f aca="false">IF(OR(G294="",H294=""),"",IF(MATCH(G294,{"Low","Medium","High"},0)*MATCH(H294,{"Low","Medium","High","Critical"},0)&gt;=9,"Critical",IF(MATCH(G294,{"Low","Medium","High"},0)*MATCH(H294,{"Low","Medium","High","Critical"},0)&gt;=6,"High",IF(MATCH(G294,{"Low","Medium","High"},0)*MATCH(H294,{"Low","Medium","High","Critical"},0)&gt;=3,"Medium","Low"))))</f>
        <v/>
      </c>
    </row>
    <row r="295" customFormat="false" ht="15" hidden="false" customHeight="false" outlineLevel="0" collapsed="false">
      <c r="I295" s="11" t="str">
        <f aca="false">IF(OR(G295="",H295=""),"",IF(MATCH(G295,{"Low","Medium","High"},0)*MATCH(H295,{"Low","Medium","High","Critical"},0)&gt;=9,"Critical",IF(MATCH(G295,{"Low","Medium","High"},0)*MATCH(H295,{"Low","Medium","High","Critical"},0)&gt;=6,"High",IF(MATCH(G295,{"Low","Medium","High"},0)*MATCH(H295,{"Low","Medium","High","Critical"},0)&gt;=3,"Medium","Low"))))</f>
        <v/>
      </c>
    </row>
    <row r="296" customFormat="false" ht="15" hidden="false" customHeight="false" outlineLevel="0" collapsed="false">
      <c r="I296" s="11" t="str">
        <f aca="false">IF(OR(G296="",H296=""),"",IF(MATCH(G296,{"Low","Medium","High"},0)*MATCH(H296,{"Low","Medium","High","Critical"},0)&gt;=9,"Critical",IF(MATCH(G296,{"Low","Medium","High"},0)*MATCH(H296,{"Low","Medium","High","Critical"},0)&gt;=6,"High",IF(MATCH(G296,{"Low","Medium","High"},0)*MATCH(H296,{"Low","Medium","High","Critical"},0)&gt;=3,"Medium","Low"))))</f>
        <v/>
      </c>
    </row>
    <row r="297" customFormat="false" ht="15" hidden="false" customHeight="false" outlineLevel="0" collapsed="false">
      <c r="I297" s="11" t="str">
        <f aca="false">IF(OR(G297="",H297=""),"",IF(MATCH(G297,{"Low","Medium","High"},0)*MATCH(H297,{"Low","Medium","High","Critical"},0)&gt;=9,"Critical",IF(MATCH(G297,{"Low","Medium","High"},0)*MATCH(H297,{"Low","Medium","High","Critical"},0)&gt;=6,"High",IF(MATCH(G297,{"Low","Medium","High"},0)*MATCH(H297,{"Low","Medium","High","Critical"},0)&gt;=3,"Medium","Low"))))</f>
        <v/>
      </c>
    </row>
    <row r="298" customFormat="false" ht="15" hidden="false" customHeight="false" outlineLevel="0" collapsed="false">
      <c r="I298" s="11" t="str">
        <f aca="false">IF(OR(G298="",H298=""),"",IF(MATCH(G298,{"Low","Medium","High"},0)*MATCH(H298,{"Low","Medium","High","Critical"},0)&gt;=9,"Critical",IF(MATCH(G298,{"Low","Medium","High"},0)*MATCH(H298,{"Low","Medium","High","Critical"},0)&gt;=6,"High",IF(MATCH(G298,{"Low","Medium","High"},0)*MATCH(H298,{"Low","Medium","High","Critical"},0)&gt;=3,"Medium","Low"))))</f>
        <v/>
      </c>
    </row>
    <row r="299" customFormat="false" ht="15" hidden="false" customHeight="false" outlineLevel="0" collapsed="false">
      <c r="I299" s="11" t="str">
        <f aca="false">IF(OR(G299="",H299=""),"",IF(MATCH(G299,{"Low","Medium","High"},0)*MATCH(H299,{"Low","Medium","High","Critical"},0)&gt;=9,"Critical",IF(MATCH(G299,{"Low","Medium","High"},0)*MATCH(H299,{"Low","Medium","High","Critical"},0)&gt;=6,"High",IF(MATCH(G299,{"Low","Medium","High"},0)*MATCH(H299,{"Low","Medium","High","Critical"},0)&gt;=3,"Medium","Low"))))</f>
        <v/>
      </c>
    </row>
    <row r="300" customFormat="false" ht="15" hidden="false" customHeight="false" outlineLevel="0" collapsed="false">
      <c r="I300" s="11" t="str">
        <f aca="false">IF(OR(G300="",H300=""),"",IF(MATCH(G300,{"Low","Medium","High"},0)*MATCH(H300,{"Low","Medium","High","Critical"},0)&gt;=9,"Critical",IF(MATCH(G300,{"Low","Medium","High"},0)*MATCH(H300,{"Low","Medium","High","Critical"},0)&gt;=6,"High",IF(MATCH(G300,{"Low","Medium","High"},0)*MATCH(H300,{"Low","Medium","High","Critical"},0)&gt;=3,"Medium","Low"))))</f>
        <v/>
      </c>
    </row>
    <row r="301" customFormat="false" ht="15" hidden="false" customHeight="false" outlineLevel="0" collapsed="false">
      <c r="I301" s="11" t="str">
        <f aca="false">IF(OR(G301="",H301=""),"",IF(MATCH(G301,{"Low","Medium","High"},0)*MATCH(H301,{"Low","Medium","High","Critical"},0)&gt;=9,"Critical",IF(MATCH(G301,{"Low","Medium","High"},0)*MATCH(H301,{"Low","Medium","High","Critical"},0)&gt;=6,"High",IF(MATCH(G301,{"Low","Medium","High"},0)*MATCH(H301,{"Low","Medium","High","Critical"},0)&gt;=3,"Medium","Low"))))</f>
        <v/>
      </c>
    </row>
    <row r="302" customFormat="false" ht="15" hidden="false" customHeight="false" outlineLevel="0" collapsed="false">
      <c r="I302" s="11" t="str">
        <f aca="false">IF(OR(G302="",H302=""),"",IF(MATCH(G302,{"Low","Medium","High"},0)*MATCH(H302,{"Low","Medium","High","Critical"},0)&gt;=9,"Critical",IF(MATCH(G302,{"Low","Medium","High"},0)*MATCH(H302,{"Low","Medium","High","Critical"},0)&gt;=6,"High",IF(MATCH(G302,{"Low","Medium","High"},0)*MATCH(H302,{"Low","Medium","High","Critical"},0)&gt;=3,"Medium","Low"))))</f>
        <v/>
      </c>
    </row>
    <row r="303" customFormat="false" ht="15" hidden="false" customHeight="false" outlineLevel="0" collapsed="false">
      <c r="I303" s="11" t="str">
        <f aca="false">IF(OR(G303="",H303=""),"",IF(MATCH(G303,{"Low","Medium","High"},0)*MATCH(H303,{"Low","Medium","High","Critical"},0)&gt;=9,"Critical",IF(MATCH(G303,{"Low","Medium","High"},0)*MATCH(H303,{"Low","Medium","High","Critical"},0)&gt;=6,"High",IF(MATCH(G303,{"Low","Medium","High"},0)*MATCH(H303,{"Low","Medium","High","Critical"},0)&gt;=3,"Medium","Low"))))</f>
        <v/>
      </c>
    </row>
    <row r="304" customFormat="false" ht="15" hidden="false" customHeight="false" outlineLevel="0" collapsed="false">
      <c r="I304" s="11" t="str">
        <f aca="false">IF(OR(G304="",H304=""),"",IF(MATCH(G304,{"Low","Medium","High"},0)*MATCH(H304,{"Low","Medium","High","Critical"},0)&gt;=9,"Critical",IF(MATCH(G304,{"Low","Medium","High"},0)*MATCH(H304,{"Low","Medium","High","Critical"},0)&gt;=6,"High",IF(MATCH(G304,{"Low","Medium","High"},0)*MATCH(H304,{"Low","Medium","High","Critical"},0)&gt;=3,"Medium","Low"))))</f>
        <v/>
      </c>
    </row>
    <row r="305" customFormat="false" ht="15" hidden="false" customHeight="false" outlineLevel="0" collapsed="false">
      <c r="I305" s="11" t="str">
        <f aca="false">IF(OR(G305="",H305=""),"",IF(MATCH(G305,{"Low","Medium","High"},0)*MATCH(H305,{"Low","Medium","High","Critical"},0)&gt;=9,"Critical",IF(MATCH(G305,{"Low","Medium","High"},0)*MATCH(H305,{"Low","Medium","High","Critical"},0)&gt;=6,"High",IF(MATCH(G305,{"Low","Medium","High"},0)*MATCH(H305,{"Low","Medium","High","Critical"},0)&gt;=3,"Medium","Low"))))</f>
        <v/>
      </c>
    </row>
    <row r="306" customFormat="false" ht="15" hidden="false" customHeight="false" outlineLevel="0" collapsed="false">
      <c r="I306" s="11" t="str">
        <f aca="false">IF(OR(G306="",H306=""),"",IF(MATCH(G306,{"Low","Medium","High"},0)*MATCH(H306,{"Low","Medium","High","Critical"},0)&gt;=9,"Critical",IF(MATCH(G306,{"Low","Medium","High"},0)*MATCH(H306,{"Low","Medium","High","Critical"},0)&gt;=6,"High",IF(MATCH(G306,{"Low","Medium","High"},0)*MATCH(H306,{"Low","Medium","High","Critical"},0)&gt;=3,"Medium","Low"))))</f>
        <v/>
      </c>
    </row>
    <row r="307" customFormat="false" ht="15" hidden="false" customHeight="false" outlineLevel="0" collapsed="false">
      <c r="I307" s="11" t="str">
        <f aca="false">IF(OR(G307="",H307=""),"",IF(MATCH(G307,{"Low","Medium","High"},0)*MATCH(H307,{"Low","Medium","High","Critical"},0)&gt;=9,"Critical",IF(MATCH(G307,{"Low","Medium","High"},0)*MATCH(H307,{"Low","Medium","High","Critical"},0)&gt;=6,"High",IF(MATCH(G307,{"Low","Medium","High"},0)*MATCH(H307,{"Low","Medium","High","Critical"},0)&gt;=3,"Medium","Low"))))</f>
        <v/>
      </c>
    </row>
    <row r="308" customFormat="false" ht="15" hidden="false" customHeight="false" outlineLevel="0" collapsed="false">
      <c r="I308" s="11" t="str">
        <f aca="false">IF(OR(G308="",H308=""),"",IF(MATCH(G308,{"Low","Medium","High"},0)*MATCH(H308,{"Low","Medium","High","Critical"},0)&gt;=9,"Critical",IF(MATCH(G308,{"Low","Medium","High"},0)*MATCH(H308,{"Low","Medium","High","Critical"},0)&gt;=6,"High",IF(MATCH(G308,{"Low","Medium","High"},0)*MATCH(H308,{"Low","Medium","High","Critical"},0)&gt;=3,"Medium","Low"))))</f>
        <v/>
      </c>
    </row>
    <row r="309" customFormat="false" ht="15" hidden="false" customHeight="false" outlineLevel="0" collapsed="false">
      <c r="I309" s="11" t="str">
        <f aca="false">IF(OR(G309="",H309=""),"",IF(MATCH(G309,{"Low","Medium","High"},0)*MATCH(H309,{"Low","Medium","High","Critical"},0)&gt;=9,"Critical",IF(MATCH(G309,{"Low","Medium","High"},0)*MATCH(H309,{"Low","Medium","High","Critical"},0)&gt;=6,"High",IF(MATCH(G309,{"Low","Medium","High"},0)*MATCH(H309,{"Low","Medium","High","Critical"},0)&gt;=3,"Medium","Low"))))</f>
        <v/>
      </c>
    </row>
    <row r="310" customFormat="false" ht="15" hidden="false" customHeight="false" outlineLevel="0" collapsed="false">
      <c r="I310" s="11" t="str">
        <f aca="false">IF(OR(G310="",H310=""),"",IF(MATCH(G310,{"Low","Medium","High"},0)*MATCH(H310,{"Low","Medium","High","Critical"},0)&gt;=9,"Critical",IF(MATCH(G310,{"Low","Medium","High"},0)*MATCH(H310,{"Low","Medium","High","Critical"},0)&gt;=6,"High",IF(MATCH(G310,{"Low","Medium","High"},0)*MATCH(H310,{"Low","Medium","High","Critical"},0)&gt;=3,"Medium","Low"))))</f>
        <v/>
      </c>
    </row>
    <row r="311" customFormat="false" ht="15" hidden="false" customHeight="false" outlineLevel="0" collapsed="false">
      <c r="I311" s="11" t="str">
        <f aca="false">IF(OR(G311="",H311=""),"",IF(MATCH(G311,{"Low","Medium","High"},0)*MATCH(H311,{"Low","Medium","High","Critical"},0)&gt;=9,"Critical",IF(MATCH(G311,{"Low","Medium","High"},0)*MATCH(H311,{"Low","Medium","High","Critical"},0)&gt;=6,"High",IF(MATCH(G311,{"Low","Medium","High"},0)*MATCH(H311,{"Low","Medium","High","Critical"},0)&gt;=3,"Medium","Low"))))</f>
        <v/>
      </c>
    </row>
    <row r="312" customFormat="false" ht="15" hidden="false" customHeight="false" outlineLevel="0" collapsed="false">
      <c r="I312" s="11" t="str">
        <f aca="false">IF(OR(G312="",H312=""),"",IF(MATCH(G312,{"Low","Medium","High"},0)*MATCH(H312,{"Low","Medium","High","Critical"},0)&gt;=9,"Critical",IF(MATCH(G312,{"Low","Medium","High"},0)*MATCH(H312,{"Low","Medium","High","Critical"},0)&gt;=6,"High",IF(MATCH(G312,{"Low","Medium","High"},0)*MATCH(H312,{"Low","Medium","High","Critical"},0)&gt;=3,"Medium","Low"))))</f>
        <v/>
      </c>
    </row>
    <row r="313" customFormat="false" ht="15" hidden="false" customHeight="false" outlineLevel="0" collapsed="false">
      <c r="I313" s="11" t="str">
        <f aca="false">IF(OR(G313="",H313=""),"",IF(MATCH(G313,{"Low","Medium","High"},0)*MATCH(H313,{"Low","Medium","High","Critical"},0)&gt;=9,"Critical",IF(MATCH(G313,{"Low","Medium","High"},0)*MATCH(H313,{"Low","Medium","High","Critical"},0)&gt;=6,"High",IF(MATCH(G313,{"Low","Medium","High"},0)*MATCH(H313,{"Low","Medium","High","Critical"},0)&gt;=3,"Medium","Low"))))</f>
        <v/>
      </c>
    </row>
    <row r="314" customFormat="false" ht="15" hidden="false" customHeight="false" outlineLevel="0" collapsed="false">
      <c r="I314" s="11" t="str">
        <f aca="false">IF(OR(G314="",H314=""),"",IF(MATCH(G314,{"Low","Medium","High"},0)*MATCH(H314,{"Low","Medium","High","Critical"},0)&gt;=9,"Critical",IF(MATCH(G314,{"Low","Medium","High"},0)*MATCH(H314,{"Low","Medium","High","Critical"},0)&gt;=6,"High",IF(MATCH(G314,{"Low","Medium","High"},0)*MATCH(H314,{"Low","Medium","High","Critical"},0)&gt;=3,"Medium","Low"))))</f>
        <v/>
      </c>
    </row>
    <row r="315" customFormat="false" ht="15" hidden="false" customHeight="false" outlineLevel="0" collapsed="false">
      <c r="I315" s="11" t="str">
        <f aca="false">IF(OR(G315="",H315=""),"",IF(MATCH(G315,{"Low","Medium","High"},0)*MATCH(H315,{"Low","Medium","High","Critical"},0)&gt;=9,"Critical",IF(MATCH(G315,{"Low","Medium","High"},0)*MATCH(H315,{"Low","Medium","High","Critical"},0)&gt;=6,"High",IF(MATCH(G315,{"Low","Medium","High"},0)*MATCH(H315,{"Low","Medium","High","Critical"},0)&gt;=3,"Medium","Low"))))</f>
        <v/>
      </c>
    </row>
    <row r="316" customFormat="false" ht="15" hidden="false" customHeight="false" outlineLevel="0" collapsed="false">
      <c r="I316" s="11" t="str">
        <f aca="false">IF(OR(G316="",H316=""),"",IF(MATCH(G316,{"Low","Medium","High"},0)*MATCH(H316,{"Low","Medium","High","Critical"},0)&gt;=9,"Critical",IF(MATCH(G316,{"Low","Medium","High"},0)*MATCH(H316,{"Low","Medium","High","Critical"},0)&gt;=6,"High",IF(MATCH(G316,{"Low","Medium","High"},0)*MATCH(H316,{"Low","Medium","High","Critical"},0)&gt;=3,"Medium","Low"))))</f>
        <v/>
      </c>
    </row>
    <row r="317" customFormat="false" ht="15" hidden="false" customHeight="false" outlineLevel="0" collapsed="false">
      <c r="I317" s="11" t="str">
        <f aca="false">IF(OR(G317="",H317=""),"",IF(MATCH(G317,{"Low","Medium","High"},0)*MATCH(H317,{"Low","Medium","High","Critical"},0)&gt;=9,"Critical",IF(MATCH(G317,{"Low","Medium","High"},0)*MATCH(H317,{"Low","Medium","High","Critical"},0)&gt;=6,"High",IF(MATCH(G317,{"Low","Medium","High"},0)*MATCH(H317,{"Low","Medium","High","Critical"},0)&gt;=3,"Medium","Low"))))</f>
        <v/>
      </c>
    </row>
    <row r="318" customFormat="false" ht="15" hidden="false" customHeight="false" outlineLevel="0" collapsed="false">
      <c r="I318" s="11" t="str">
        <f aca="false">IF(OR(G318="",H318=""),"",IF(MATCH(G318,{"Low","Medium","High"},0)*MATCH(H318,{"Low","Medium","High","Critical"},0)&gt;=9,"Critical",IF(MATCH(G318,{"Low","Medium","High"},0)*MATCH(H318,{"Low","Medium","High","Critical"},0)&gt;=6,"High",IF(MATCH(G318,{"Low","Medium","High"},0)*MATCH(H318,{"Low","Medium","High","Critical"},0)&gt;=3,"Medium","Low"))))</f>
        <v/>
      </c>
    </row>
    <row r="319" customFormat="false" ht="15" hidden="false" customHeight="false" outlineLevel="0" collapsed="false">
      <c r="I319" s="11" t="str">
        <f aca="false">IF(OR(G319="",H319=""),"",IF(MATCH(G319,{"Low","Medium","High"},0)*MATCH(H319,{"Low","Medium","High","Critical"},0)&gt;=9,"Critical",IF(MATCH(G319,{"Low","Medium","High"},0)*MATCH(H319,{"Low","Medium","High","Critical"},0)&gt;=6,"High",IF(MATCH(G319,{"Low","Medium","High"},0)*MATCH(H319,{"Low","Medium","High","Critical"},0)&gt;=3,"Medium","Low"))))</f>
        <v/>
      </c>
    </row>
    <row r="320" customFormat="false" ht="15" hidden="false" customHeight="false" outlineLevel="0" collapsed="false">
      <c r="I320" s="11" t="str">
        <f aca="false">IF(OR(G320="",H320=""),"",IF(MATCH(G320,{"Low","Medium","High"},0)*MATCH(H320,{"Low","Medium","High","Critical"},0)&gt;=9,"Critical",IF(MATCH(G320,{"Low","Medium","High"},0)*MATCH(H320,{"Low","Medium","High","Critical"},0)&gt;=6,"High",IF(MATCH(G320,{"Low","Medium","High"},0)*MATCH(H320,{"Low","Medium","High","Critical"},0)&gt;=3,"Medium","Low"))))</f>
        <v/>
      </c>
    </row>
    <row r="321" customFormat="false" ht="15" hidden="false" customHeight="false" outlineLevel="0" collapsed="false">
      <c r="I321" s="11" t="str">
        <f aca="false">IF(OR(G321="",H321=""),"",IF(MATCH(G321,{"Low","Medium","High"},0)*MATCH(H321,{"Low","Medium","High","Critical"},0)&gt;=9,"Critical",IF(MATCH(G321,{"Low","Medium","High"},0)*MATCH(H321,{"Low","Medium","High","Critical"},0)&gt;=6,"High",IF(MATCH(G321,{"Low","Medium","High"},0)*MATCH(H321,{"Low","Medium","High","Critical"},0)&gt;=3,"Medium","Low"))))</f>
        <v/>
      </c>
    </row>
    <row r="322" customFormat="false" ht="15" hidden="false" customHeight="false" outlineLevel="0" collapsed="false">
      <c r="I322" s="11" t="str">
        <f aca="false">IF(OR(G322="",H322=""),"",IF(MATCH(G322,{"Low","Medium","High"},0)*MATCH(H322,{"Low","Medium","High","Critical"},0)&gt;=9,"Critical",IF(MATCH(G322,{"Low","Medium","High"},0)*MATCH(H322,{"Low","Medium","High","Critical"},0)&gt;=6,"High",IF(MATCH(G322,{"Low","Medium","High"},0)*MATCH(H322,{"Low","Medium","High","Critical"},0)&gt;=3,"Medium","Low"))))</f>
        <v/>
      </c>
    </row>
    <row r="323" customFormat="false" ht="15" hidden="false" customHeight="false" outlineLevel="0" collapsed="false">
      <c r="I323" s="11" t="str">
        <f aca="false">IF(OR(G323="",H323=""),"",IF(MATCH(G323,{"Low","Medium","High"},0)*MATCH(H323,{"Low","Medium","High","Critical"},0)&gt;=9,"Critical",IF(MATCH(G323,{"Low","Medium","High"},0)*MATCH(H323,{"Low","Medium","High","Critical"},0)&gt;=6,"High",IF(MATCH(G323,{"Low","Medium","High"},0)*MATCH(H323,{"Low","Medium","High","Critical"},0)&gt;=3,"Medium","Low"))))</f>
        <v/>
      </c>
    </row>
    <row r="324" customFormat="false" ht="15" hidden="false" customHeight="false" outlineLevel="0" collapsed="false">
      <c r="I324" s="11" t="str">
        <f aca="false">IF(OR(G324="",H324=""),"",IF(MATCH(G324,{"Low","Medium","High"},0)*MATCH(H324,{"Low","Medium","High","Critical"},0)&gt;=9,"Critical",IF(MATCH(G324,{"Low","Medium","High"},0)*MATCH(H324,{"Low","Medium","High","Critical"},0)&gt;=6,"High",IF(MATCH(G324,{"Low","Medium","High"},0)*MATCH(H324,{"Low","Medium","High","Critical"},0)&gt;=3,"Medium","Low"))))</f>
        <v/>
      </c>
    </row>
    <row r="325" customFormat="false" ht="15" hidden="false" customHeight="false" outlineLevel="0" collapsed="false">
      <c r="I325" s="11" t="str">
        <f aca="false">IF(OR(G325="",H325=""),"",IF(MATCH(G325,{"Low","Medium","High"},0)*MATCH(H325,{"Low","Medium","High","Critical"},0)&gt;=9,"Critical",IF(MATCH(G325,{"Low","Medium","High"},0)*MATCH(H325,{"Low","Medium","High","Critical"},0)&gt;=6,"High",IF(MATCH(G325,{"Low","Medium","High"},0)*MATCH(H325,{"Low","Medium","High","Critical"},0)&gt;=3,"Medium","Low"))))</f>
        <v/>
      </c>
    </row>
    <row r="326" customFormat="false" ht="15" hidden="false" customHeight="false" outlineLevel="0" collapsed="false">
      <c r="I326" s="11" t="str">
        <f aca="false">IF(OR(G326="",H326=""),"",IF(MATCH(G326,{"Low","Medium","High"},0)*MATCH(H326,{"Low","Medium","High","Critical"},0)&gt;=9,"Critical",IF(MATCH(G326,{"Low","Medium","High"},0)*MATCH(H326,{"Low","Medium","High","Critical"},0)&gt;=6,"High",IF(MATCH(G326,{"Low","Medium","High"},0)*MATCH(H326,{"Low","Medium","High","Critical"},0)&gt;=3,"Medium","Low"))))</f>
        <v/>
      </c>
    </row>
    <row r="327" customFormat="false" ht="15" hidden="false" customHeight="false" outlineLevel="0" collapsed="false">
      <c r="I327" s="11" t="str">
        <f aca="false">IF(OR(G327="",H327=""),"",IF(MATCH(G327,{"Low","Medium","High"},0)*MATCH(H327,{"Low","Medium","High","Critical"},0)&gt;=9,"Critical",IF(MATCH(G327,{"Low","Medium","High"},0)*MATCH(H327,{"Low","Medium","High","Critical"},0)&gt;=6,"High",IF(MATCH(G327,{"Low","Medium","High"},0)*MATCH(H327,{"Low","Medium","High","Critical"},0)&gt;=3,"Medium","Low"))))</f>
        <v/>
      </c>
    </row>
    <row r="328" customFormat="false" ht="15" hidden="false" customHeight="false" outlineLevel="0" collapsed="false">
      <c r="I328" s="11" t="str">
        <f aca="false">IF(OR(G328="",H328=""),"",IF(MATCH(G328,{"Low","Medium","High"},0)*MATCH(H328,{"Low","Medium","High","Critical"},0)&gt;=9,"Critical",IF(MATCH(G328,{"Low","Medium","High"},0)*MATCH(H328,{"Low","Medium","High","Critical"},0)&gt;=6,"High",IF(MATCH(G328,{"Low","Medium","High"},0)*MATCH(H328,{"Low","Medium","High","Critical"},0)&gt;=3,"Medium","Low"))))</f>
        <v/>
      </c>
    </row>
    <row r="329" customFormat="false" ht="15" hidden="false" customHeight="false" outlineLevel="0" collapsed="false">
      <c r="I329" s="11" t="str">
        <f aca="false">IF(OR(G329="",H329=""),"",IF(MATCH(G329,{"Low","Medium","High"},0)*MATCH(H329,{"Low","Medium","High","Critical"},0)&gt;=9,"Critical",IF(MATCH(G329,{"Low","Medium","High"},0)*MATCH(H329,{"Low","Medium","High","Critical"},0)&gt;=6,"High",IF(MATCH(G329,{"Low","Medium","High"},0)*MATCH(H329,{"Low","Medium","High","Critical"},0)&gt;=3,"Medium","Low"))))</f>
        <v/>
      </c>
    </row>
    <row r="330" customFormat="false" ht="15" hidden="false" customHeight="false" outlineLevel="0" collapsed="false">
      <c r="I330" s="11" t="str">
        <f aca="false">IF(OR(G330="",H330=""),"",IF(MATCH(G330,{"Low","Medium","High"},0)*MATCH(H330,{"Low","Medium","High","Critical"},0)&gt;=9,"Critical",IF(MATCH(G330,{"Low","Medium","High"},0)*MATCH(H330,{"Low","Medium","High","Critical"},0)&gt;=6,"High",IF(MATCH(G330,{"Low","Medium","High"},0)*MATCH(H330,{"Low","Medium","High","Critical"},0)&gt;=3,"Medium","Low"))))</f>
        <v/>
      </c>
    </row>
    <row r="331" customFormat="false" ht="15" hidden="false" customHeight="false" outlineLevel="0" collapsed="false">
      <c r="I331" s="11" t="str">
        <f aca="false">IF(OR(G331="",H331=""),"",IF(MATCH(G331,{"Low","Medium","High"},0)*MATCH(H331,{"Low","Medium","High","Critical"},0)&gt;=9,"Critical",IF(MATCH(G331,{"Low","Medium","High"},0)*MATCH(H331,{"Low","Medium","High","Critical"},0)&gt;=6,"High",IF(MATCH(G331,{"Low","Medium","High"},0)*MATCH(H331,{"Low","Medium","High","Critical"},0)&gt;=3,"Medium","Low"))))</f>
        <v/>
      </c>
    </row>
    <row r="332" customFormat="false" ht="15" hidden="false" customHeight="false" outlineLevel="0" collapsed="false">
      <c r="I332" s="11" t="str">
        <f aca="false">IF(OR(G332="",H332=""),"",IF(MATCH(G332,{"Low","Medium","High"},0)*MATCH(H332,{"Low","Medium","High","Critical"},0)&gt;=9,"Critical",IF(MATCH(G332,{"Low","Medium","High"},0)*MATCH(H332,{"Low","Medium","High","Critical"},0)&gt;=6,"High",IF(MATCH(G332,{"Low","Medium","High"},0)*MATCH(H332,{"Low","Medium","High","Critical"},0)&gt;=3,"Medium","Low"))))</f>
        <v/>
      </c>
    </row>
    <row r="333" customFormat="false" ht="15" hidden="false" customHeight="false" outlineLevel="0" collapsed="false">
      <c r="I333" s="11" t="str">
        <f aca="false">IF(OR(G333="",H333=""),"",IF(MATCH(G333,{"Low","Medium","High"},0)*MATCH(H333,{"Low","Medium","High","Critical"},0)&gt;=9,"Critical",IF(MATCH(G333,{"Low","Medium","High"},0)*MATCH(H333,{"Low","Medium","High","Critical"},0)&gt;=6,"High",IF(MATCH(G333,{"Low","Medium","High"},0)*MATCH(H333,{"Low","Medium","High","Critical"},0)&gt;=3,"Medium","Low"))))</f>
        <v/>
      </c>
    </row>
    <row r="334" customFormat="false" ht="15" hidden="false" customHeight="false" outlineLevel="0" collapsed="false">
      <c r="I334" s="11" t="str">
        <f aca="false">IF(OR(G334="",H334=""),"",IF(MATCH(G334,{"Low","Medium","High"},0)*MATCH(H334,{"Low","Medium","High","Critical"},0)&gt;=9,"Critical",IF(MATCH(G334,{"Low","Medium","High"},0)*MATCH(H334,{"Low","Medium","High","Critical"},0)&gt;=6,"High",IF(MATCH(G334,{"Low","Medium","High"},0)*MATCH(H334,{"Low","Medium","High","Critical"},0)&gt;=3,"Medium","Low"))))</f>
        <v/>
      </c>
    </row>
    <row r="335" customFormat="false" ht="15" hidden="false" customHeight="false" outlineLevel="0" collapsed="false">
      <c r="I335" s="11" t="str">
        <f aca="false">IF(OR(G335="",H335=""),"",IF(MATCH(G335,{"Low","Medium","High"},0)*MATCH(H335,{"Low","Medium","High","Critical"},0)&gt;=9,"Critical",IF(MATCH(G335,{"Low","Medium","High"},0)*MATCH(H335,{"Low","Medium","High","Critical"},0)&gt;=6,"High",IF(MATCH(G335,{"Low","Medium","High"},0)*MATCH(H335,{"Low","Medium","High","Critical"},0)&gt;=3,"Medium","Low"))))</f>
        <v/>
      </c>
    </row>
    <row r="336" customFormat="false" ht="15" hidden="false" customHeight="false" outlineLevel="0" collapsed="false">
      <c r="I336" s="11" t="str">
        <f aca="false">IF(OR(G336="",H336=""),"",IF(MATCH(G336,{"Low","Medium","High"},0)*MATCH(H336,{"Low","Medium","High","Critical"},0)&gt;=9,"Critical",IF(MATCH(G336,{"Low","Medium","High"},0)*MATCH(H336,{"Low","Medium","High","Critical"},0)&gt;=6,"High",IF(MATCH(G336,{"Low","Medium","High"},0)*MATCH(H336,{"Low","Medium","High","Critical"},0)&gt;=3,"Medium","Low"))))</f>
        <v/>
      </c>
    </row>
    <row r="337" customFormat="false" ht="15" hidden="false" customHeight="false" outlineLevel="0" collapsed="false">
      <c r="I337" s="11" t="str">
        <f aca="false">IF(OR(G337="",H337=""),"",IF(MATCH(G337,{"Low","Medium","High"},0)*MATCH(H337,{"Low","Medium","High","Critical"},0)&gt;=9,"Critical",IF(MATCH(G337,{"Low","Medium","High"},0)*MATCH(H337,{"Low","Medium","High","Critical"},0)&gt;=6,"High",IF(MATCH(G337,{"Low","Medium","High"},0)*MATCH(H337,{"Low","Medium","High","Critical"},0)&gt;=3,"Medium","Low"))))</f>
        <v/>
      </c>
    </row>
    <row r="338" customFormat="false" ht="15" hidden="false" customHeight="false" outlineLevel="0" collapsed="false">
      <c r="I338" s="11" t="str">
        <f aca="false">IF(OR(G338="",H338=""),"",IF(MATCH(G338,{"Low","Medium","High"},0)*MATCH(H338,{"Low","Medium","High","Critical"},0)&gt;=9,"Critical",IF(MATCH(G338,{"Low","Medium","High"},0)*MATCH(H338,{"Low","Medium","High","Critical"},0)&gt;=6,"High",IF(MATCH(G338,{"Low","Medium","High"},0)*MATCH(H338,{"Low","Medium","High","Critical"},0)&gt;=3,"Medium","Low"))))</f>
        <v/>
      </c>
    </row>
    <row r="339" customFormat="false" ht="15" hidden="false" customHeight="false" outlineLevel="0" collapsed="false">
      <c r="I339" s="11" t="str">
        <f aca="false">IF(OR(G339="",H339=""),"",IF(MATCH(G339,{"Low","Medium","High"},0)*MATCH(H339,{"Low","Medium","High","Critical"},0)&gt;=9,"Critical",IF(MATCH(G339,{"Low","Medium","High"},0)*MATCH(H339,{"Low","Medium","High","Critical"},0)&gt;=6,"High",IF(MATCH(G339,{"Low","Medium","High"},0)*MATCH(H339,{"Low","Medium","High","Critical"},0)&gt;=3,"Medium","Low"))))</f>
        <v/>
      </c>
    </row>
    <row r="340" customFormat="false" ht="15" hidden="false" customHeight="false" outlineLevel="0" collapsed="false">
      <c r="I340" s="11" t="str">
        <f aca="false">IF(OR(G340="",H340=""),"",IF(MATCH(G340,{"Low","Medium","High"},0)*MATCH(H340,{"Low","Medium","High","Critical"},0)&gt;=9,"Critical",IF(MATCH(G340,{"Low","Medium","High"},0)*MATCH(H340,{"Low","Medium","High","Critical"},0)&gt;=6,"High",IF(MATCH(G340,{"Low","Medium","High"},0)*MATCH(H340,{"Low","Medium","High","Critical"},0)&gt;=3,"Medium","Low"))))</f>
        <v/>
      </c>
    </row>
    <row r="341" customFormat="false" ht="15" hidden="false" customHeight="false" outlineLevel="0" collapsed="false">
      <c r="I341" s="11" t="str">
        <f aca="false">IF(OR(G341="",H341=""),"",IF(MATCH(G341,{"Low","Medium","High"},0)*MATCH(H341,{"Low","Medium","High","Critical"},0)&gt;=9,"Critical",IF(MATCH(G341,{"Low","Medium","High"},0)*MATCH(H341,{"Low","Medium","High","Critical"},0)&gt;=6,"High",IF(MATCH(G341,{"Low","Medium","High"},0)*MATCH(H341,{"Low","Medium","High","Critical"},0)&gt;=3,"Medium","Low"))))</f>
        <v/>
      </c>
    </row>
    <row r="342" customFormat="false" ht="15" hidden="false" customHeight="false" outlineLevel="0" collapsed="false">
      <c r="I342" s="11" t="str">
        <f aca="false">IF(OR(G342="",H342=""),"",IF(MATCH(G342,{"Low","Medium","High"},0)*MATCH(H342,{"Low","Medium","High","Critical"},0)&gt;=9,"Critical",IF(MATCH(G342,{"Low","Medium","High"},0)*MATCH(H342,{"Low","Medium","High","Critical"},0)&gt;=6,"High",IF(MATCH(G342,{"Low","Medium","High"},0)*MATCH(H342,{"Low","Medium","High","Critical"},0)&gt;=3,"Medium","Low"))))</f>
        <v/>
      </c>
    </row>
    <row r="343" customFormat="false" ht="15" hidden="false" customHeight="false" outlineLevel="0" collapsed="false">
      <c r="I343" s="11" t="str">
        <f aca="false">IF(OR(G343="",H343=""),"",IF(MATCH(G343,{"Low","Medium","High"},0)*MATCH(H343,{"Low","Medium","High","Critical"},0)&gt;=9,"Critical",IF(MATCH(G343,{"Low","Medium","High"},0)*MATCH(H343,{"Low","Medium","High","Critical"},0)&gt;=6,"High",IF(MATCH(G343,{"Low","Medium","High"},0)*MATCH(H343,{"Low","Medium","High","Critical"},0)&gt;=3,"Medium","Low"))))</f>
        <v/>
      </c>
    </row>
    <row r="344" customFormat="false" ht="15" hidden="false" customHeight="false" outlineLevel="0" collapsed="false">
      <c r="I344" s="11" t="str">
        <f aca="false">IF(OR(G344="",H344=""),"",IF(MATCH(G344,{"Low","Medium","High"},0)*MATCH(H344,{"Low","Medium","High","Critical"},0)&gt;=9,"Critical",IF(MATCH(G344,{"Low","Medium","High"},0)*MATCH(H344,{"Low","Medium","High","Critical"},0)&gt;=6,"High",IF(MATCH(G344,{"Low","Medium","High"},0)*MATCH(H344,{"Low","Medium","High","Critical"},0)&gt;=3,"Medium","Low"))))</f>
        <v/>
      </c>
    </row>
    <row r="345" customFormat="false" ht="15" hidden="false" customHeight="false" outlineLevel="0" collapsed="false">
      <c r="I345" s="11" t="str">
        <f aca="false">IF(OR(G345="",H345=""),"",IF(MATCH(G345,{"Low","Medium","High"},0)*MATCH(H345,{"Low","Medium","High","Critical"},0)&gt;=9,"Critical",IF(MATCH(G345,{"Low","Medium","High"},0)*MATCH(H345,{"Low","Medium","High","Critical"},0)&gt;=6,"High",IF(MATCH(G345,{"Low","Medium","High"},0)*MATCH(H345,{"Low","Medium","High","Critical"},0)&gt;=3,"Medium","Low"))))</f>
        <v/>
      </c>
    </row>
    <row r="346" customFormat="false" ht="15" hidden="false" customHeight="false" outlineLevel="0" collapsed="false">
      <c r="I346" s="11" t="str">
        <f aca="false">IF(OR(G346="",H346=""),"",IF(MATCH(G346,{"Low","Medium","High"},0)*MATCH(H346,{"Low","Medium","High","Critical"},0)&gt;=9,"Critical",IF(MATCH(G346,{"Low","Medium","High"},0)*MATCH(H346,{"Low","Medium","High","Critical"},0)&gt;=6,"High",IF(MATCH(G346,{"Low","Medium","High"},0)*MATCH(H346,{"Low","Medium","High","Critical"},0)&gt;=3,"Medium","Low"))))</f>
        <v/>
      </c>
    </row>
    <row r="347" customFormat="false" ht="15" hidden="false" customHeight="false" outlineLevel="0" collapsed="false">
      <c r="I347" s="11" t="str">
        <f aca="false">IF(OR(G347="",H347=""),"",IF(MATCH(G347,{"Low","Medium","High"},0)*MATCH(H347,{"Low","Medium","High","Critical"},0)&gt;=9,"Critical",IF(MATCH(G347,{"Low","Medium","High"},0)*MATCH(H347,{"Low","Medium","High","Critical"},0)&gt;=6,"High",IF(MATCH(G347,{"Low","Medium","High"},0)*MATCH(H347,{"Low","Medium","High","Critical"},0)&gt;=3,"Medium","Low"))))</f>
        <v/>
      </c>
    </row>
    <row r="348" customFormat="false" ht="15" hidden="false" customHeight="false" outlineLevel="0" collapsed="false">
      <c r="I348" s="11" t="str">
        <f aca="false">IF(OR(G348="",H348=""),"",IF(MATCH(G348,{"Low","Medium","High"},0)*MATCH(H348,{"Low","Medium","High","Critical"},0)&gt;=9,"Critical",IF(MATCH(G348,{"Low","Medium","High"},0)*MATCH(H348,{"Low","Medium","High","Critical"},0)&gt;=6,"High",IF(MATCH(G348,{"Low","Medium","High"},0)*MATCH(H348,{"Low","Medium","High","Critical"},0)&gt;=3,"Medium","Low"))))</f>
        <v/>
      </c>
    </row>
    <row r="349" customFormat="false" ht="15" hidden="false" customHeight="false" outlineLevel="0" collapsed="false">
      <c r="I349" s="11" t="str">
        <f aca="false">IF(OR(G349="",H349=""),"",IF(MATCH(G349,{"Low","Medium","High"},0)*MATCH(H349,{"Low","Medium","High","Critical"},0)&gt;=9,"Critical",IF(MATCH(G349,{"Low","Medium","High"},0)*MATCH(H349,{"Low","Medium","High","Critical"},0)&gt;=6,"High",IF(MATCH(G349,{"Low","Medium","High"},0)*MATCH(H349,{"Low","Medium","High","Critical"},0)&gt;=3,"Medium","Low"))))</f>
        <v/>
      </c>
    </row>
    <row r="350" customFormat="false" ht="15" hidden="false" customHeight="false" outlineLevel="0" collapsed="false">
      <c r="I350" s="11" t="str">
        <f aca="false">IF(OR(G350="",H350=""),"",IF(MATCH(G350,{"Low","Medium","High"},0)*MATCH(H350,{"Low","Medium","High","Critical"},0)&gt;=9,"Critical",IF(MATCH(G350,{"Low","Medium","High"},0)*MATCH(H350,{"Low","Medium","High","Critical"},0)&gt;=6,"High",IF(MATCH(G350,{"Low","Medium","High"},0)*MATCH(H350,{"Low","Medium","High","Critical"},0)&gt;=3,"Medium","Low"))))</f>
        <v/>
      </c>
    </row>
    <row r="351" customFormat="false" ht="15" hidden="false" customHeight="false" outlineLevel="0" collapsed="false">
      <c r="I351" s="11" t="str">
        <f aca="false">IF(OR(G351="",H351=""),"",IF(MATCH(G351,{"Low","Medium","High"},0)*MATCH(H351,{"Low","Medium","High","Critical"},0)&gt;=9,"Critical",IF(MATCH(G351,{"Low","Medium","High"},0)*MATCH(H351,{"Low","Medium","High","Critical"},0)&gt;=6,"High",IF(MATCH(G351,{"Low","Medium","High"},0)*MATCH(H351,{"Low","Medium","High","Critical"},0)&gt;=3,"Medium","Low"))))</f>
        <v/>
      </c>
    </row>
    <row r="352" customFormat="false" ht="15" hidden="false" customHeight="false" outlineLevel="0" collapsed="false">
      <c r="I352" s="11" t="str">
        <f aca="false">IF(OR(G352="",H352=""),"",IF(MATCH(G352,{"Low","Medium","High"},0)*MATCH(H352,{"Low","Medium","High","Critical"},0)&gt;=9,"Critical",IF(MATCH(G352,{"Low","Medium","High"},0)*MATCH(H352,{"Low","Medium","High","Critical"},0)&gt;=6,"High",IF(MATCH(G352,{"Low","Medium","High"},0)*MATCH(H352,{"Low","Medium","High","Critical"},0)&gt;=3,"Medium","Low"))))</f>
        <v/>
      </c>
    </row>
    <row r="353" customFormat="false" ht="15" hidden="false" customHeight="false" outlineLevel="0" collapsed="false">
      <c r="I353" s="11" t="str">
        <f aca="false">IF(OR(G353="",H353=""),"",IF(MATCH(G353,{"Low","Medium","High"},0)*MATCH(H353,{"Low","Medium","High","Critical"},0)&gt;=9,"Critical",IF(MATCH(G353,{"Low","Medium","High"},0)*MATCH(H353,{"Low","Medium","High","Critical"},0)&gt;=6,"High",IF(MATCH(G353,{"Low","Medium","High"},0)*MATCH(H353,{"Low","Medium","High","Critical"},0)&gt;=3,"Medium","Low"))))</f>
        <v/>
      </c>
    </row>
    <row r="354" customFormat="false" ht="15" hidden="false" customHeight="false" outlineLevel="0" collapsed="false">
      <c r="I354" s="11" t="str">
        <f aca="false">IF(OR(G354="",H354=""),"",IF(MATCH(G354,{"Low","Medium","High"},0)*MATCH(H354,{"Low","Medium","High","Critical"},0)&gt;=9,"Critical",IF(MATCH(G354,{"Low","Medium","High"},0)*MATCH(H354,{"Low","Medium","High","Critical"},0)&gt;=6,"High",IF(MATCH(G354,{"Low","Medium","High"},0)*MATCH(H354,{"Low","Medium","High","Critical"},0)&gt;=3,"Medium","Low"))))</f>
        <v/>
      </c>
    </row>
    <row r="355" customFormat="false" ht="15" hidden="false" customHeight="false" outlineLevel="0" collapsed="false">
      <c r="I355" s="11" t="str">
        <f aca="false">IF(OR(G355="",H355=""),"",IF(MATCH(G355,{"Low","Medium","High"},0)*MATCH(H355,{"Low","Medium","High","Critical"},0)&gt;=9,"Critical",IF(MATCH(G355,{"Low","Medium","High"},0)*MATCH(H355,{"Low","Medium","High","Critical"},0)&gt;=6,"High",IF(MATCH(G355,{"Low","Medium","High"},0)*MATCH(H355,{"Low","Medium","High","Critical"},0)&gt;=3,"Medium","Low"))))</f>
        <v/>
      </c>
    </row>
    <row r="356" customFormat="false" ht="15" hidden="false" customHeight="false" outlineLevel="0" collapsed="false">
      <c r="I356" s="11" t="str">
        <f aca="false">IF(OR(G356="",H356=""),"",IF(MATCH(G356,{"Low","Medium","High"},0)*MATCH(H356,{"Low","Medium","High","Critical"},0)&gt;=9,"Critical",IF(MATCH(G356,{"Low","Medium","High"},0)*MATCH(H356,{"Low","Medium","High","Critical"},0)&gt;=6,"High",IF(MATCH(G356,{"Low","Medium","High"},0)*MATCH(H356,{"Low","Medium","High","Critical"},0)&gt;=3,"Medium","Low"))))</f>
        <v/>
      </c>
    </row>
    <row r="357" customFormat="false" ht="15" hidden="false" customHeight="false" outlineLevel="0" collapsed="false">
      <c r="I357" s="11" t="str">
        <f aca="false">IF(OR(G357="",H357=""),"",IF(MATCH(G357,{"Low","Medium","High"},0)*MATCH(H357,{"Low","Medium","High","Critical"},0)&gt;=9,"Critical",IF(MATCH(G357,{"Low","Medium","High"},0)*MATCH(H357,{"Low","Medium","High","Critical"},0)&gt;=6,"High",IF(MATCH(G357,{"Low","Medium","High"},0)*MATCH(H357,{"Low","Medium","High","Critical"},0)&gt;=3,"Medium","Low"))))</f>
        <v/>
      </c>
    </row>
    <row r="358" customFormat="false" ht="15" hidden="false" customHeight="false" outlineLevel="0" collapsed="false">
      <c r="I358" s="11" t="str">
        <f aca="false">IF(OR(G358="",H358=""),"",IF(MATCH(G358,{"Low","Medium","High"},0)*MATCH(H358,{"Low","Medium","High","Critical"},0)&gt;=9,"Critical",IF(MATCH(G358,{"Low","Medium","High"},0)*MATCH(H358,{"Low","Medium","High","Critical"},0)&gt;=6,"High",IF(MATCH(G358,{"Low","Medium","High"},0)*MATCH(H358,{"Low","Medium","High","Critical"},0)&gt;=3,"Medium","Low"))))</f>
        <v/>
      </c>
    </row>
    <row r="359" customFormat="false" ht="15" hidden="false" customHeight="false" outlineLevel="0" collapsed="false">
      <c r="I359" s="11" t="str">
        <f aca="false">IF(OR(G359="",H359=""),"",IF(MATCH(G359,{"Low","Medium","High"},0)*MATCH(H359,{"Low","Medium","High","Critical"},0)&gt;=9,"Critical",IF(MATCH(G359,{"Low","Medium","High"},0)*MATCH(H359,{"Low","Medium","High","Critical"},0)&gt;=6,"High",IF(MATCH(G359,{"Low","Medium","High"},0)*MATCH(H359,{"Low","Medium","High","Critical"},0)&gt;=3,"Medium","Low"))))</f>
        <v/>
      </c>
    </row>
    <row r="360" customFormat="false" ht="15" hidden="false" customHeight="false" outlineLevel="0" collapsed="false">
      <c r="I360" s="11" t="str">
        <f aca="false">IF(OR(G360="",H360=""),"",IF(MATCH(G360,{"Low","Medium","High"},0)*MATCH(H360,{"Low","Medium","High","Critical"},0)&gt;=9,"Critical",IF(MATCH(G360,{"Low","Medium","High"},0)*MATCH(H360,{"Low","Medium","High","Critical"},0)&gt;=6,"High",IF(MATCH(G360,{"Low","Medium","High"},0)*MATCH(H360,{"Low","Medium","High","Critical"},0)&gt;=3,"Medium","Low"))))</f>
        <v/>
      </c>
    </row>
    <row r="361" customFormat="false" ht="15" hidden="false" customHeight="false" outlineLevel="0" collapsed="false">
      <c r="I361" s="11" t="str">
        <f aca="false">IF(OR(G361="",H361=""),"",IF(MATCH(G361,{"Low","Medium","High"},0)*MATCH(H361,{"Low","Medium","High","Critical"},0)&gt;=9,"Critical",IF(MATCH(G361,{"Low","Medium","High"},0)*MATCH(H361,{"Low","Medium","High","Critical"},0)&gt;=6,"High",IF(MATCH(G361,{"Low","Medium","High"},0)*MATCH(H361,{"Low","Medium","High","Critical"},0)&gt;=3,"Medium","Low"))))</f>
        <v/>
      </c>
    </row>
    <row r="362" customFormat="false" ht="15" hidden="false" customHeight="false" outlineLevel="0" collapsed="false">
      <c r="I362" s="11" t="str">
        <f aca="false">IF(OR(G362="",H362=""),"",IF(MATCH(G362,{"Low","Medium","High"},0)*MATCH(H362,{"Low","Medium","High","Critical"},0)&gt;=9,"Critical",IF(MATCH(G362,{"Low","Medium","High"},0)*MATCH(H362,{"Low","Medium","High","Critical"},0)&gt;=6,"High",IF(MATCH(G362,{"Low","Medium","High"},0)*MATCH(H362,{"Low","Medium","High","Critical"},0)&gt;=3,"Medium","Low"))))</f>
        <v/>
      </c>
    </row>
    <row r="363" customFormat="false" ht="15" hidden="false" customHeight="false" outlineLevel="0" collapsed="false">
      <c r="I363" s="11" t="str">
        <f aca="false">IF(OR(G363="",H363=""),"",IF(MATCH(G363,{"Low","Medium","High"},0)*MATCH(H363,{"Low","Medium","High","Critical"},0)&gt;=9,"Critical",IF(MATCH(G363,{"Low","Medium","High"},0)*MATCH(H363,{"Low","Medium","High","Critical"},0)&gt;=6,"High",IF(MATCH(G363,{"Low","Medium","High"},0)*MATCH(H363,{"Low","Medium","High","Critical"},0)&gt;=3,"Medium","Low"))))</f>
        <v/>
      </c>
    </row>
    <row r="364" customFormat="false" ht="15" hidden="false" customHeight="false" outlineLevel="0" collapsed="false">
      <c r="I364" s="11" t="str">
        <f aca="false">IF(OR(G364="",H364=""),"",IF(MATCH(G364,{"Low","Medium","High"},0)*MATCH(H364,{"Low","Medium","High","Critical"},0)&gt;=9,"Critical",IF(MATCH(G364,{"Low","Medium","High"},0)*MATCH(H364,{"Low","Medium","High","Critical"},0)&gt;=6,"High",IF(MATCH(G364,{"Low","Medium","High"},0)*MATCH(H364,{"Low","Medium","High","Critical"},0)&gt;=3,"Medium","Low"))))</f>
        <v/>
      </c>
    </row>
    <row r="365" customFormat="false" ht="15" hidden="false" customHeight="false" outlineLevel="0" collapsed="false">
      <c r="I365" s="11" t="str">
        <f aca="false">IF(OR(G365="",H365=""),"",IF(MATCH(G365,{"Low","Medium","High"},0)*MATCH(H365,{"Low","Medium","High","Critical"},0)&gt;=9,"Critical",IF(MATCH(G365,{"Low","Medium","High"},0)*MATCH(H365,{"Low","Medium","High","Critical"},0)&gt;=6,"High",IF(MATCH(G365,{"Low","Medium","High"},0)*MATCH(H365,{"Low","Medium","High","Critical"},0)&gt;=3,"Medium","Low"))))</f>
        <v/>
      </c>
    </row>
    <row r="366" customFormat="false" ht="15" hidden="false" customHeight="false" outlineLevel="0" collapsed="false">
      <c r="I366" s="11" t="str">
        <f aca="false">IF(OR(G366="",H366=""),"",IF(MATCH(G366,{"Low","Medium","High"},0)*MATCH(H366,{"Low","Medium","High","Critical"},0)&gt;=9,"Critical",IF(MATCH(G366,{"Low","Medium","High"},0)*MATCH(H366,{"Low","Medium","High","Critical"},0)&gt;=6,"High",IF(MATCH(G366,{"Low","Medium","High"},0)*MATCH(H366,{"Low","Medium","High","Critical"},0)&gt;=3,"Medium","Low"))))</f>
        <v/>
      </c>
    </row>
    <row r="367" customFormat="false" ht="15" hidden="false" customHeight="false" outlineLevel="0" collapsed="false">
      <c r="I367" s="11" t="str">
        <f aca="false">IF(OR(G367="",H367=""),"",IF(MATCH(G367,{"Low","Medium","High"},0)*MATCH(H367,{"Low","Medium","High","Critical"},0)&gt;=9,"Critical",IF(MATCH(G367,{"Low","Medium","High"},0)*MATCH(H367,{"Low","Medium","High","Critical"},0)&gt;=6,"High",IF(MATCH(G367,{"Low","Medium","High"},0)*MATCH(H367,{"Low","Medium","High","Critical"},0)&gt;=3,"Medium","Low"))))</f>
        <v/>
      </c>
    </row>
    <row r="368" customFormat="false" ht="15" hidden="false" customHeight="false" outlineLevel="0" collapsed="false">
      <c r="I368" s="11" t="str">
        <f aca="false">IF(OR(G368="",H368=""),"",IF(MATCH(G368,{"Low","Medium","High"},0)*MATCH(H368,{"Low","Medium","High","Critical"},0)&gt;=9,"Critical",IF(MATCH(G368,{"Low","Medium","High"},0)*MATCH(H368,{"Low","Medium","High","Critical"},0)&gt;=6,"High",IF(MATCH(G368,{"Low","Medium","High"},0)*MATCH(H368,{"Low","Medium","High","Critical"},0)&gt;=3,"Medium","Low"))))</f>
        <v/>
      </c>
    </row>
    <row r="369" customFormat="false" ht="15" hidden="false" customHeight="false" outlineLevel="0" collapsed="false">
      <c r="I369" s="11" t="str">
        <f aca="false">IF(OR(G369="",H369=""),"",IF(MATCH(G369,{"Low","Medium","High"},0)*MATCH(H369,{"Low","Medium","High","Critical"},0)&gt;=9,"Critical",IF(MATCH(G369,{"Low","Medium","High"},0)*MATCH(H369,{"Low","Medium","High","Critical"},0)&gt;=6,"High",IF(MATCH(G369,{"Low","Medium","High"},0)*MATCH(H369,{"Low","Medium","High","Critical"},0)&gt;=3,"Medium","Low"))))</f>
        <v/>
      </c>
    </row>
    <row r="370" customFormat="false" ht="15" hidden="false" customHeight="false" outlineLevel="0" collapsed="false">
      <c r="I370" s="11" t="str">
        <f aca="false">IF(OR(G370="",H370=""),"",IF(MATCH(G370,{"Low","Medium","High"},0)*MATCH(H370,{"Low","Medium","High","Critical"},0)&gt;=9,"Critical",IF(MATCH(G370,{"Low","Medium","High"},0)*MATCH(H370,{"Low","Medium","High","Critical"},0)&gt;=6,"High",IF(MATCH(G370,{"Low","Medium","High"},0)*MATCH(H370,{"Low","Medium","High","Critical"},0)&gt;=3,"Medium","Low"))))</f>
        <v/>
      </c>
    </row>
    <row r="371" customFormat="false" ht="15" hidden="false" customHeight="false" outlineLevel="0" collapsed="false">
      <c r="I371" s="11" t="str">
        <f aca="false">IF(OR(G371="",H371=""),"",IF(MATCH(G371,{"Low","Medium","High"},0)*MATCH(H371,{"Low","Medium","High","Critical"},0)&gt;=9,"Critical",IF(MATCH(G371,{"Low","Medium","High"},0)*MATCH(H371,{"Low","Medium","High","Critical"},0)&gt;=6,"High",IF(MATCH(G371,{"Low","Medium","High"},0)*MATCH(H371,{"Low","Medium","High","Critical"},0)&gt;=3,"Medium","Low"))))</f>
        <v/>
      </c>
    </row>
    <row r="372" customFormat="false" ht="15" hidden="false" customHeight="false" outlineLevel="0" collapsed="false">
      <c r="I372" s="11" t="str">
        <f aca="false">IF(OR(G372="",H372=""),"",IF(MATCH(G372,{"Low","Medium","High"},0)*MATCH(H372,{"Low","Medium","High","Critical"},0)&gt;=9,"Critical",IF(MATCH(G372,{"Low","Medium","High"},0)*MATCH(H372,{"Low","Medium","High","Critical"},0)&gt;=6,"High",IF(MATCH(G372,{"Low","Medium","High"},0)*MATCH(H372,{"Low","Medium","High","Critical"},0)&gt;=3,"Medium","Low"))))</f>
        <v/>
      </c>
    </row>
    <row r="373" customFormat="false" ht="15" hidden="false" customHeight="false" outlineLevel="0" collapsed="false">
      <c r="I373" s="11" t="str">
        <f aca="false">IF(OR(G373="",H373=""),"",IF(MATCH(G373,{"Low","Medium","High"},0)*MATCH(H373,{"Low","Medium","High","Critical"},0)&gt;=9,"Critical",IF(MATCH(G373,{"Low","Medium","High"},0)*MATCH(H373,{"Low","Medium","High","Critical"},0)&gt;=6,"High",IF(MATCH(G373,{"Low","Medium","High"},0)*MATCH(H373,{"Low","Medium","High","Critical"},0)&gt;=3,"Medium","Low"))))</f>
        <v/>
      </c>
    </row>
    <row r="374" customFormat="false" ht="15" hidden="false" customHeight="false" outlineLevel="0" collapsed="false">
      <c r="I374" s="11" t="str">
        <f aca="false">IF(OR(G374="",H374=""),"",IF(MATCH(G374,{"Low","Medium","High"},0)*MATCH(H374,{"Low","Medium","High","Critical"},0)&gt;=9,"Critical",IF(MATCH(G374,{"Low","Medium","High"},0)*MATCH(H374,{"Low","Medium","High","Critical"},0)&gt;=6,"High",IF(MATCH(G374,{"Low","Medium","High"},0)*MATCH(H374,{"Low","Medium","High","Critical"},0)&gt;=3,"Medium","Low"))))</f>
        <v/>
      </c>
    </row>
    <row r="375" customFormat="false" ht="15" hidden="false" customHeight="false" outlineLevel="0" collapsed="false">
      <c r="I375" s="11" t="str">
        <f aca="false">IF(OR(G375="",H375=""),"",IF(MATCH(G375,{"Low","Medium","High"},0)*MATCH(H375,{"Low","Medium","High","Critical"},0)&gt;=9,"Critical",IF(MATCH(G375,{"Low","Medium","High"},0)*MATCH(H375,{"Low","Medium","High","Critical"},0)&gt;=6,"High",IF(MATCH(G375,{"Low","Medium","High"},0)*MATCH(H375,{"Low","Medium","High","Critical"},0)&gt;=3,"Medium","Low"))))</f>
        <v/>
      </c>
    </row>
    <row r="376" customFormat="false" ht="15" hidden="false" customHeight="false" outlineLevel="0" collapsed="false">
      <c r="I376" s="11" t="str">
        <f aca="false">IF(OR(G376="",H376=""),"",IF(MATCH(G376,{"Low","Medium","High"},0)*MATCH(H376,{"Low","Medium","High","Critical"},0)&gt;=9,"Critical",IF(MATCH(G376,{"Low","Medium","High"},0)*MATCH(H376,{"Low","Medium","High","Critical"},0)&gt;=6,"High",IF(MATCH(G376,{"Low","Medium","High"},0)*MATCH(H376,{"Low","Medium","High","Critical"},0)&gt;=3,"Medium","Low"))))</f>
        <v/>
      </c>
    </row>
    <row r="377" customFormat="false" ht="15" hidden="false" customHeight="false" outlineLevel="0" collapsed="false">
      <c r="I377" s="11" t="str">
        <f aca="false">IF(OR(G377="",H377=""),"",IF(MATCH(G377,{"Low","Medium","High"},0)*MATCH(H377,{"Low","Medium","High","Critical"},0)&gt;=9,"Critical",IF(MATCH(G377,{"Low","Medium","High"},0)*MATCH(H377,{"Low","Medium","High","Critical"},0)&gt;=6,"High",IF(MATCH(G377,{"Low","Medium","High"},0)*MATCH(H377,{"Low","Medium","High","Critical"},0)&gt;=3,"Medium","Low"))))</f>
        <v/>
      </c>
    </row>
    <row r="378" customFormat="false" ht="15" hidden="false" customHeight="false" outlineLevel="0" collapsed="false">
      <c r="I378" s="11" t="str">
        <f aca="false">IF(OR(G378="",H378=""),"",IF(MATCH(G378,{"Low","Medium","High"},0)*MATCH(H378,{"Low","Medium","High","Critical"},0)&gt;=9,"Critical",IF(MATCH(G378,{"Low","Medium","High"},0)*MATCH(H378,{"Low","Medium","High","Critical"},0)&gt;=6,"High",IF(MATCH(G378,{"Low","Medium","High"},0)*MATCH(H378,{"Low","Medium","High","Critical"},0)&gt;=3,"Medium","Low"))))</f>
        <v/>
      </c>
    </row>
    <row r="379" customFormat="false" ht="15" hidden="false" customHeight="false" outlineLevel="0" collapsed="false">
      <c r="I379" s="11" t="str">
        <f aca="false">IF(OR(G379="",H379=""),"",IF(MATCH(G379,{"Low","Medium","High"},0)*MATCH(H379,{"Low","Medium","High","Critical"},0)&gt;=9,"Critical",IF(MATCH(G379,{"Low","Medium","High"},0)*MATCH(H379,{"Low","Medium","High","Critical"},0)&gt;=6,"High",IF(MATCH(G379,{"Low","Medium","High"},0)*MATCH(H379,{"Low","Medium","High","Critical"},0)&gt;=3,"Medium","Low"))))</f>
        <v/>
      </c>
    </row>
    <row r="380" customFormat="false" ht="15" hidden="false" customHeight="false" outlineLevel="0" collapsed="false">
      <c r="I380" s="11" t="str">
        <f aca="false">IF(OR(G380="",H380=""),"",IF(MATCH(G380,{"Low","Medium","High"},0)*MATCH(H380,{"Low","Medium","High","Critical"},0)&gt;=9,"Critical",IF(MATCH(G380,{"Low","Medium","High"},0)*MATCH(H380,{"Low","Medium","High","Critical"},0)&gt;=6,"High",IF(MATCH(G380,{"Low","Medium","High"},0)*MATCH(H380,{"Low","Medium","High","Critical"},0)&gt;=3,"Medium","Low"))))</f>
        <v/>
      </c>
    </row>
    <row r="381" customFormat="false" ht="15" hidden="false" customHeight="false" outlineLevel="0" collapsed="false">
      <c r="I381" s="11" t="str">
        <f aca="false">IF(OR(G381="",H381=""),"",IF(MATCH(G381,{"Low","Medium","High"},0)*MATCH(H381,{"Low","Medium","High","Critical"},0)&gt;=9,"Critical",IF(MATCH(G381,{"Low","Medium","High"},0)*MATCH(H381,{"Low","Medium","High","Critical"},0)&gt;=6,"High",IF(MATCH(G381,{"Low","Medium","High"},0)*MATCH(H381,{"Low","Medium","High","Critical"},0)&gt;=3,"Medium","Low"))))</f>
        <v/>
      </c>
    </row>
    <row r="382" customFormat="false" ht="15" hidden="false" customHeight="false" outlineLevel="0" collapsed="false">
      <c r="I382" s="11" t="str">
        <f aca="false">IF(OR(G382="",H382=""),"",IF(MATCH(G382,{"Low","Medium","High"},0)*MATCH(H382,{"Low","Medium","High","Critical"},0)&gt;=9,"Critical",IF(MATCH(G382,{"Low","Medium","High"},0)*MATCH(H382,{"Low","Medium","High","Critical"},0)&gt;=6,"High",IF(MATCH(G382,{"Low","Medium","High"},0)*MATCH(H382,{"Low","Medium","High","Critical"},0)&gt;=3,"Medium","Low"))))</f>
        <v/>
      </c>
    </row>
    <row r="383" customFormat="false" ht="15" hidden="false" customHeight="false" outlineLevel="0" collapsed="false">
      <c r="I383" s="11" t="str">
        <f aca="false">IF(OR(G383="",H383=""),"",IF(MATCH(G383,{"Low","Medium","High"},0)*MATCH(H383,{"Low","Medium","High","Critical"},0)&gt;=9,"Critical",IF(MATCH(G383,{"Low","Medium","High"},0)*MATCH(H383,{"Low","Medium","High","Critical"},0)&gt;=6,"High",IF(MATCH(G383,{"Low","Medium","High"},0)*MATCH(H383,{"Low","Medium","High","Critical"},0)&gt;=3,"Medium","Low"))))</f>
        <v/>
      </c>
    </row>
    <row r="384" customFormat="false" ht="15" hidden="false" customHeight="false" outlineLevel="0" collapsed="false">
      <c r="I384" s="11" t="str">
        <f aca="false">IF(OR(G384="",H384=""),"",IF(MATCH(G384,{"Low","Medium","High"},0)*MATCH(H384,{"Low","Medium","High","Critical"},0)&gt;=9,"Critical",IF(MATCH(G384,{"Low","Medium","High"},0)*MATCH(H384,{"Low","Medium","High","Critical"},0)&gt;=6,"High",IF(MATCH(G384,{"Low","Medium","High"},0)*MATCH(H384,{"Low","Medium","High","Critical"},0)&gt;=3,"Medium","Low"))))</f>
        <v/>
      </c>
    </row>
    <row r="385" customFormat="false" ht="15" hidden="false" customHeight="false" outlineLevel="0" collapsed="false">
      <c r="I385" s="11" t="str">
        <f aca="false">IF(OR(G385="",H385=""),"",IF(MATCH(G385,{"Low","Medium","High"},0)*MATCH(H385,{"Low","Medium","High","Critical"},0)&gt;=9,"Critical",IF(MATCH(G385,{"Low","Medium","High"},0)*MATCH(H385,{"Low","Medium","High","Critical"},0)&gt;=6,"High",IF(MATCH(G385,{"Low","Medium","High"},0)*MATCH(H385,{"Low","Medium","High","Critical"},0)&gt;=3,"Medium","Low"))))</f>
        <v/>
      </c>
    </row>
    <row r="386" customFormat="false" ht="15" hidden="false" customHeight="false" outlineLevel="0" collapsed="false">
      <c r="I386" s="11" t="str">
        <f aca="false">IF(OR(G386="",H386=""),"",IF(MATCH(G386,{"Low","Medium","High"},0)*MATCH(H386,{"Low","Medium","High","Critical"},0)&gt;=9,"Critical",IF(MATCH(G386,{"Low","Medium","High"},0)*MATCH(H386,{"Low","Medium","High","Critical"},0)&gt;=6,"High",IF(MATCH(G386,{"Low","Medium","High"},0)*MATCH(H386,{"Low","Medium","High","Critical"},0)&gt;=3,"Medium","Low"))))</f>
        <v/>
      </c>
    </row>
    <row r="387" customFormat="false" ht="15" hidden="false" customHeight="false" outlineLevel="0" collapsed="false">
      <c r="I387" s="11" t="str">
        <f aca="false">IF(OR(G387="",H387=""),"",IF(MATCH(G387,{"Low","Medium","High"},0)*MATCH(H387,{"Low","Medium","High","Critical"},0)&gt;=9,"Critical",IF(MATCH(G387,{"Low","Medium","High"},0)*MATCH(H387,{"Low","Medium","High","Critical"},0)&gt;=6,"High",IF(MATCH(G387,{"Low","Medium","High"},0)*MATCH(H387,{"Low","Medium","High","Critical"},0)&gt;=3,"Medium","Low"))))</f>
        <v/>
      </c>
    </row>
    <row r="388" customFormat="false" ht="15" hidden="false" customHeight="false" outlineLevel="0" collapsed="false">
      <c r="I388" s="11" t="str">
        <f aca="false">IF(OR(G388="",H388=""),"",IF(MATCH(G388,{"Low","Medium","High"},0)*MATCH(H388,{"Low","Medium","High","Critical"},0)&gt;=9,"Critical",IF(MATCH(G388,{"Low","Medium","High"},0)*MATCH(H388,{"Low","Medium","High","Critical"},0)&gt;=6,"High",IF(MATCH(G388,{"Low","Medium","High"},0)*MATCH(H388,{"Low","Medium","High","Critical"},0)&gt;=3,"Medium","Low"))))</f>
        <v/>
      </c>
    </row>
    <row r="389" customFormat="false" ht="15" hidden="false" customHeight="false" outlineLevel="0" collapsed="false">
      <c r="I389" s="11" t="str">
        <f aca="false">IF(OR(G389="",H389=""),"",IF(MATCH(G389,{"Low","Medium","High"},0)*MATCH(H389,{"Low","Medium","High","Critical"},0)&gt;=9,"Critical",IF(MATCH(G389,{"Low","Medium","High"},0)*MATCH(H389,{"Low","Medium","High","Critical"},0)&gt;=6,"High",IF(MATCH(G389,{"Low","Medium","High"},0)*MATCH(H389,{"Low","Medium","High","Critical"},0)&gt;=3,"Medium","Low"))))</f>
        <v/>
      </c>
    </row>
    <row r="390" customFormat="false" ht="15" hidden="false" customHeight="false" outlineLevel="0" collapsed="false">
      <c r="I390" s="11" t="str">
        <f aca="false">IF(OR(G390="",H390=""),"",IF(MATCH(G390,{"Low","Medium","High"},0)*MATCH(H390,{"Low","Medium","High","Critical"},0)&gt;=9,"Critical",IF(MATCH(G390,{"Low","Medium","High"},0)*MATCH(H390,{"Low","Medium","High","Critical"},0)&gt;=6,"High",IF(MATCH(G390,{"Low","Medium","High"},0)*MATCH(H390,{"Low","Medium","High","Critical"},0)&gt;=3,"Medium","Low"))))</f>
        <v/>
      </c>
    </row>
    <row r="391" customFormat="false" ht="15" hidden="false" customHeight="false" outlineLevel="0" collapsed="false">
      <c r="I391" s="11" t="str">
        <f aca="false">IF(OR(G391="",H391=""),"",IF(MATCH(G391,{"Low","Medium","High"},0)*MATCH(H391,{"Low","Medium","High","Critical"},0)&gt;=9,"Critical",IF(MATCH(G391,{"Low","Medium","High"},0)*MATCH(H391,{"Low","Medium","High","Critical"},0)&gt;=6,"High",IF(MATCH(G391,{"Low","Medium","High"},0)*MATCH(H391,{"Low","Medium","High","Critical"},0)&gt;=3,"Medium","Low"))))</f>
        <v/>
      </c>
    </row>
    <row r="392" customFormat="false" ht="15" hidden="false" customHeight="false" outlineLevel="0" collapsed="false">
      <c r="I392" s="11" t="str">
        <f aca="false">IF(OR(G392="",H392=""),"",IF(MATCH(G392,{"Low","Medium","High"},0)*MATCH(H392,{"Low","Medium","High","Critical"},0)&gt;=9,"Critical",IF(MATCH(G392,{"Low","Medium","High"},0)*MATCH(H392,{"Low","Medium","High","Critical"},0)&gt;=6,"High",IF(MATCH(G392,{"Low","Medium","High"},0)*MATCH(H392,{"Low","Medium","High","Critical"},0)&gt;=3,"Medium","Low"))))</f>
        <v/>
      </c>
    </row>
    <row r="393" customFormat="false" ht="15" hidden="false" customHeight="false" outlineLevel="0" collapsed="false">
      <c r="I393" s="11" t="str">
        <f aca="false">IF(OR(G393="",H393=""),"",IF(MATCH(G393,{"Low","Medium","High"},0)*MATCH(H393,{"Low","Medium","High","Critical"},0)&gt;=9,"Critical",IF(MATCH(G393,{"Low","Medium","High"},0)*MATCH(H393,{"Low","Medium","High","Critical"},0)&gt;=6,"High",IF(MATCH(G393,{"Low","Medium","High"},0)*MATCH(H393,{"Low","Medium","High","Critical"},0)&gt;=3,"Medium","Low"))))</f>
        <v/>
      </c>
    </row>
    <row r="394" customFormat="false" ht="15" hidden="false" customHeight="false" outlineLevel="0" collapsed="false">
      <c r="I394" s="11" t="str">
        <f aca="false">IF(OR(G394="",H394=""),"",IF(MATCH(G394,{"Low","Medium","High"},0)*MATCH(H394,{"Low","Medium","High","Critical"},0)&gt;=9,"Critical",IF(MATCH(G394,{"Low","Medium","High"},0)*MATCH(H394,{"Low","Medium","High","Critical"},0)&gt;=6,"High",IF(MATCH(G394,{"Low","Medium","High"},0)*MATCH(H394,{"Low","Medium","High","Critical"},0)&gt;=3,"Medium","Low"))))</f>
        <v/>
      </c>
    </row>
    <row r="395" customFormat="false" ht="15" hidden="false" customHeight="false" outlineLevel="0" collapsed="false">
      <c r="I395" s="11" t="str">
        <f aca="false">IF(OR(G395="",H395=""),"",IF(MATCH(G395,{"Low","Medium","High"},0)*MATCH(H395,{"Low","Medium","High","Critical"},0)&gt;=9,"Critical",IF(MATCH(G395,{"Low","Medium","High"},0)*MATCH(H395,{"Low","Medium","High","Critical"},0)&gt;=6,"High",IF(MATCH(G395,{"Low","Medium","High"},0)*MATCH(H395,{"Low","Medium","High","Critical"},0)&gt;=3,"Medium","Low"))))</f>
        <v/>
      </c>
    </row>
    <row r="396" customFormat="false" ht="15" hidden="false" customHeight="false" outlineLevel="0" collapsed="false">
      <c r="I396" s="11" t="str">
        <f aca="false">IF(OR(G396="",H396=""),"",IF(MATCH(G396,{"Low","Medium","High"},0)*MATCH(H396,{"Low","Medium","High","Critical"},0)&gt;=9,"Critical",IF(MATCH(G396,{"Low","Medium","High"},0)*MATCH(H396,{"Low","Medium","High","Critical"},0)&gt;=6,"High",IF(MATCH(G396,{"Low","Medium","High"},0)*MATCH(H396,{"Low","Medium","High","Critical"},0)&gt;=3,"Medium","Low"))))</f>
        <v/>
      </c>
    </row>
    <row r="397" customFormat="false" ht="15" hidden="false" customHeight="false" outlineLevel="0" collapsed="false">
      <c r="I397" s="11" t="str">
        <f aca="false">IF(OR(G397="",H397=""),"",IF(MATCH(G397,{"Low","Medium","High"},0)*MATCH(H397,{"Low","Medium","High","Critical"},0)&gt;=9,"Critical",IF(MATCH(G397,{"Low","Medium","High"},0)*MATCH(H397,{"Low","Medium","High","Critical"},0)&gt;=6,"High",IF(MATCH(G397,{"Low","Medium","High"},0)*MATCH(H397,{"Low","Medium","High","Critical"},0)&gt;=3,"Medium","Low"))))</f>
        <v/>
      </c>
    </row>
    <row r="398" customFormat="false" ht="15" hidden="false" customHeight="false" outlineLevel="0" collapsed="false">
      <c r="I398" s="11" t="str">
        <f aca="false">IF(OR(G398="",H398=""),"",IF(MATCH(G398,{"Low","Medium","High"},0)*MATCH(H398,{"Low","Medium","High","Critical"},0)&gt;=9,"Critical",IF(MATCH(G398,{"Low","Medium","High"},0)*MATCH(H398,{"Low","Medium","High","Critical"},0)&gt;=6,"High",IF(MATCH(G398,{"Low","Medium","High"},0)*MATCH(H398,{"Low","Medium","High","Critical"},0)&gt;=3,"Medium","Low"))))</f>
        <v/>
      </c>
    </row>
    <row r="399" customFormat="false" ht="15" hidden="false" customHeight="false" outlineLevel="0" collapsed="false">
      <c r="I399" s="11" t="str">
        <f aca="false">IF(OR(G399="",H399=""),"",IF(MATCH(G399,{"Low","Medium","High"},0)*MATCH(H399,{"Low","Medium","High","Critical"},0)&gt;=9,"Critical",IF(MATCH(G399,{"Low","Medium","High"},0)*MATCH(H399,{"Low","Medium","High","Critical"},0)&gt;=6,"High",IF(MATCH(G399,{"Low","Medium","High"},0)*MATCH(H399,{"Low","Medium","High","Critical"},0)&gt;=3,"Medium","Low"))))</f>
        <v/>
      </c>
    </row>
    <row r="400" customFormat="false" ht="15" hidden="false" customHeight="false" outlineLevel="0" collapsed="false">
      <c r="I400" s="11" t="str">
        <f aca="false">IF(OR(G400="",H400=""),"",IF(MATCH(G400,{"Low","Medium","High"},0)*MATCH(H400,{"Low","Medium","High","Critical"},0)&gt;=9,"Critical",IF(MATCH(G400,{"Low","Medium","High"},0)*MATCH(H400,{"Low","Medium","High","Critical"},0)&gt;=6,"High",IF(MATCH(G400,{"Low","Medium","High"},0)*MATCH(H400,{"Low","Medium","High","Critical"},0)&gt;=3,"Medium","Low"))))</f>
        <v/>
      </c>
    </row>
    <row r="401" customFormat="false" ht="15" hidden="false" customHeight="false" outlineLevel="0" collapsed="false">
      <c r="I401" s="11" t="str">
        <f aca="false">IF(OR(G401="",H401=""),"",IF(MATCH(G401,{"Low","Medium","High"},0)*MATCH(H401,{"Low","Medium","High","Critical"},0)&gt;=9,"Critical",IF(MATCH(G401,{"Low","Medium","High"},0)*MATCH(H401,{"Low","Medium","High","Critical"},0)&gt;=6,"High",IF(MATCH(G401,{"Low","Medium","High"},0)*MATCH(H401,{"Low","Medium","High","Critical"},0)&gt;=3,"Medium","Low"))))</f>
        <v/>
      </c>
    </row>
    <row r="402" customFormat="false" ht="15" hidden="false" customHeight="false" outlineLevel="0" collapsed="false">
      <c r="I402" s="11" t="str">
        <f aca="false">IF(OR(G402="",H402=""),"",IF(MATCH(G402,{"Low","Medium","High"},0)*MATCH(H402,{"Low","Medium","High","Critical"},0)&gt;=9,"Critical",IF(MATCH(G402,{"Low","Medium","High"},0)*MATCH(H402,{"Low","Medium","High","Critical"},0)&gt;=6,"High",IF(MATCH(G402,{"Low","Medium","High"},0)*MATCH(H402,{"Low","Medium","High","Critical"},0)&gt;=3,"Medium","Low"))))</f>
        <v/>
      </c>
    </row>
    <row r="403" customFormat="false" ht="15" hidden="false" customHeight="false" outlineLevel="0" collapsed="false">
      <c r="I403" s="11" t="str">
        <f aca="false">IF(OR(G403="",H403=""),"",IF(MATCH(G403,{"Low","Medium","High"},0)*MATCH(H403,{"Low","Medium","High","Critical"},0)&gt;=9,"Critical",IF(MATCH(G403,{"Low","Medium","High"},0)*MATCH(H403,{"Low","Medium","High","Critical"},0)&gt;=6,"High",IF(MATCH(G403,{"Low","Medium","High"},0)*MATCH(H403,{"Low","Medium","High","Critical"},0)&gt;=3,"Medium","Low"))))</f>
        <v/>
      </c>
    </row>
    <row r="404" customFormat="false" ht="15" hidden="false" customHeight="false" outlineLevel="0" collapsed="false">
      <c r="I404" s="11" t="str">
        <f aca="false">IF(OR(G404="",H404=""),"",IF(MATCH(G404,{"Low","Medium","High"},0)*MATCH(H404,{"Low","Medium","High","Critical"},0)&gt;=9,"Critical",IF(MATCH(G404,{"Low","Medium","High"},0)*MATCH(H404,{"Low","Medium","High","Critical"},0)&gt;=6,"High",IF(MATCH(G404,{"Low","Medium","High"},0)*MATCH(H404,{"Low","Medium","High","Critical"},0)&gt;=3,"Medium","Low"))))</f>
        <v/>
      </c>
    </row>
    <row r="405" customFormat="false" ht="15" hidden="false" customHeight="false" outlineLevel="0" collapsed="false">
      <c r="I405" s="11" t="str">
        <f aca="false">IF(OR(G405="",H405=""),"",IF(MATCH(G405,{"Low","Medium","High"},0)*MATCH(H405,{"Low","Medium","High","Critical"},0)&gt;=9,"Critical",IF(MATCH(G405,{"Low","Medium","High"},0)*MATCH(H405,{"Low","Medium","High","Critical"},0)&gt;=6,"High",IF(MATCH(G405,{"Low","Medium","High"},0)*MATCH(H405,{"Low","Medium","High","Critical"},0)&gt;=3,"Medium","Low"))))</f>
        <v/>
      </c>
    </row>
    <row r="406" customFormat="false" ht="15" hidden="false" customHeight="false" outlineLevel="0" collapsed="false">
      <c r="I406" s="11" t="str">
        <f aca="false">IF(OR(G406="",H406=""),"",IF(MATCH(G406,{"Low","Medium","High"},0)*MATCH(H406,{"Low","Medium","High","Critical"},0)&gt;=9,"Critical",IF(MATCH(G406,{"Low","Medium","High"},0)*MATCH(H406,{"Low","Medium","High","Critical"},0)&gt;=6,"High",IF(MATCH(G406,{"Low","Medium","High"},0)*MATCH(H406,{"Low","Medium","High","Critical"},0)&gt;=3,"Medium","Low"))))</f>
        <v/>
      </c>
    </row>
    <row r="407" customFormat="false" ht="15" hidden="false" customHeight="false" outlineLevel="0" collapsed="false">
      <c r="I407" s="11" t="str">
        <f aca="false">IF(OR(G407="",H407=""),"",IF(MATCH(G407,{"Low","Medium","High"},0)*MATCH(H407,{"Low","Medium","High","Critical"},0)&gt;=9,"Critical",IF(MATCH(G407,{"Low","Medium","High"},0)*MATCH(H407,{"Low","Medium","High","Critical"},0)&gt;=6,"High",IF(MATCH(G407,{"Low","Medium","High"},0)*MATCH(H407,{"Low","Medium","High","Critical"},0)&gt;=3,"Medium","Low"))))</f>
        <v/>
      </c>
    </row>
    <row r="408" customFormat="false" ht="15" hidden="false" customHeight="false" outlineLevel="0" collapsed="false">
      <c r="I408" s="11" t="str">
        <f aca="false">IF(OR(G408="",H408=""),"",IF(MATCH(G408,{"Low","Medium","High"},0)*MATCH(H408,{"Low","Medium","High","Critical"},0)&gt;=9,"Critical",IF(MATCH(G408,{"Low","Medium","High"},0)*MATCH(H408,{"Low","Medium","High","Critical"},0)&gt;=6,"High",IF(MATCH(G408,{"Low","Medium","High"},0)*MATCH(H408,{"Low","Medium","High","Critical"},0)&gt;=3,"Medium","Low"))))</f>
        <v/>
      </c>
    </row>
    <row r="409" customFormat="false" ht="15" hidden="false" customHeight="false" outlineLevel="0" collapsed="false">
      <c r="I409" s="11" t="str">
        <f aca="false">IF(OR(G409="",H409=""),"",IF(MATCH(G409,{"Low","Medium","High"},0)*MATCH(H409,{"Low","Medium","High","Critical"},0)&gt;=9,"Critical",IF(MATCH(G409,{"Low","Medium","High"},0)*MATCH(H409,{"Low","Medium","High","Critical"},0)&gt;=6,"High",IF(MATCH(G409,{"Low","Medium","High"},0)*MATCH(H409,{"Low","Medium","High","Critical"},0)&gt;=3,"Medium","Low"))))</f>
        <v/>
      </c>
    </row>
    <row r="410" customFormat="false" ht="15" hidden="false" customHeight="false" outlineLevel="0" collapsed="false">
      <c r="I410" s="11" t="str">
        <f aca="false">IF(OR(G410="",H410=""),"",IF(MATCH(G410,{"Low","Medium","High"},0)*MATCH(H410,{"Low","Medium","High","Critical"},0)&gt;=9,"Critical",IF(MATCH(G410,{"Low","Medium","High"},0)*MATCH(H410,{"Low","Medium","High","Critical"},0)&gt;=6,"High",IF(MATCH(G410,{"Low","Medium","High"},0)*MATCH(H410,{"Low","Medium","High","Critical"},0)&gt;=3,"Medium","Low"))))</f>
        <v/>
      </c>
    </row>
    <row r="411" customFormat="false" ht="15" hidden="false" customHeight="false" outlineLevel="0" collapsed="false">
      <c r="I411" s="11" t="str">
        <f aca="false">IF(OR(G411="",H411=""),"",IF(MATCH(G411,{"Low","Medium","High"},0)*MATCH(H411,{"Low","Medium","High","Critical"},0)&gt;=9,"Critical",IF(MATCH(G411,{"Low","Medium","High"},0)*MATCH(H411,{"Low","Medium","High","Critical"},0)&gt;=6,"High",IF(MATCH(G411,{"Low","Medium","High"},0)*MATCH(H411,{"Low","Medium","High","Critical"},0)&gt;=3,"Medium","Low"))))</f>
        <v/>
      </c>
    </row>
    <row r="412" customFormat="false" ht="15" hidden="false" customHeight="false" outlineLevel="0" collapsed="false">
      <c r="I412" s="11" t="str">
        <f aca="false">IF(OR(G412="",H412=""),"",IF(MATCH(G412,{"Low","Medium","High"},0)*MATCH(H412,{"Low","Medium","High","Critical"},0)&gt;=9,"Critical",IF(MATCH(G412,{"Low","Medium","High"},0)*MATCH(H412,{"Low","Medium","High","Critical"},0)&gt;=6,"High",IF(MATCH(G412,{"Low","Medium","High"},0)*MATCH(H412,{"Low","Medium","High","Critical"},0)&gt;=3,"Medium","Low"))))</f>
        <v/>
      </c>
    </row>
    <row r="413" customFormat="false" ht="15" hidden="false" customHeight="false" outlineLevel="0" collapsed="false">
      <c r="I413" s="11" t="str">
        <f aca="false">IF(OR(G413="",H413=""),"",IF(MATCH(G413,{"Low","Medium","High"},0)*MATCH(H413,{"Low","Medium","High","Critical"},0)&gt;=9,"Critical",IF(MATCH(G413,{"Low","Medium","High"},0)*MATCH(H413,{"Low","Medium","High","Critical"},0)&gt;=6,"High",IF(MATCH(G413,{"Low","Medium","High"},0)*MATCH(H413,{"Low","Medium","High","Critical"},0)&gt;=3,"Medium","Low"))))</f>
        <v/>
      </c>
    </row>
    <row r="414" customFormat="false" ht="15" hidden="false" customHeight="false" outlineLevel="0" collapsed="false">
      <c r="I414" s="11" t="str">
        <f aca="false">IF(OR(G414="",H414=""),"",IF(MATCH(G414,{"Low","Medium","High"},0)*MATCH(H414,{"Low","Medium","High","Critical"},0)&gt;=9,"Critical",IF(MATCH(G414,{"Low","Medium","High"},0)*MATCH(H414,{"Low","Medium","High","Critical"},0)&gt;=6,"High",IF(MATCH(G414,{"Low","Medium","High"},0)*MATCH(H414,{"Low","Medium","High","Critical"},0)&gt;=3,"Medium","Low"))))</f>
        <v/>
      </c>
    </row>
    <row r="415" customFormat="false" ht="15" hidden="false" customHeight="false" outlineLevel="0" collapsed="false">
      <c r="I415" s="11" t="str">
        <f aca="false">IF(OR(G415="",H415=""),"",IF(MATCH(G415,{"Low","Medium","High"},0)*MATCH(H415,{"Low","Medium","High","Critical"},0)&gt;=9,"Critical",IF(MATCH(G415,{"Low","Medium","High"},0)*MATCH(H415,{"Low","Medium","High","Critical"},0)&gt;=6,"High",IF(MATCH(G415,{"Low","Medium","High"},0)*MATCH(H415,{"Low","Medium","High","Critical"},0)&gt;=3,"Medium","Low"))))</f>
        <v/>
      </c>
    </row>
    <row r="416" customFormat="false" ht="15" hidden="false" customHeight="false" outlineLevel="0" collapsed="false">
      <c r="I416" s="11" t="str">
        <f aca="false">IF(OR(G416="",H416=""),"",IF(MATCH(G416,{"Low","Medium","High"},0)*MATCH(H416,{"Low","Medium","High","Critical"},0)&gt;=9,"Critical",IF(MATCH(G416,{"Low","Medium","High"},0)*MATCH(H416,{"Low","Medium","High","Critical"},0)&gt;=6,"High",IF(MATCH(G416,{"Low","Medium","High"},0)*MATCH(H416,{"Low","Medium","High","Critical"},0)&gt;=3,"Medium","Low"))))</f>
        <v/>
      </c>
    </row>
    <row r="417" customFormat="false" ht="15" hidden="false" customHeight="false" outlineLevel="0" collapsed="false">
      <c r="I417" s="11" t="str">
        <f aca="false">IF(OR(G417="",H417=""),"",IF(MATCH(G417,{"Low","Medium","High"},0)*MATCH(H417,{"Low","Medium","High","Critical"},0)&gt;=9,"Critical",IF(MATCH(G417,{"Low","Medium","High"},0)*MATCH(H417,{"Low","Medium","High","Critical"},0)&gt;=6,"High",IF(MATCH(G417,{"Low","Medium","High"},0)*MATCH(H417,{"Low","Medium","High","Critical"},0)&gt;=3,"Medium","Low"))))</f>
        <v/>
      </c>
    </row>
    <row r="418" customFormat="false" ht="15" hidden="false" customHeight="false" outlineLevel="0" collapsed="false">
      <c r="I418" s="11" t="str">
        <f aca="false">IF(OR(G418="",H418=""),"",IF(MATCH(G418,{"Low","Medium","High"},0)*MATCH(H418,{"Low","Medium","High","Critical"},0)&gt;=9,"Critical",IF(MATCH(G418,{"Low","Medium","High"},0)*MATCH(H418,{"Low","Medium","High","Critical"},0)&gt;=6,"High",IF(MATCH(G418,{"Low","Medium","High"},0)*MATCH(H418,{"Low","Medium","High","Critical"},0)&gt;=3,"Medium","Low"))))</f>
        <v/>
      </c>
    </row>
    <row r="419" customFormat="false" ht="15" hidden="false" customHeight="false" outlineLevel="0" collapsed="false">
      <c r="I419" s="11" t="str">
        <f aca="false">IF(OR(G419="",H419=""),"",IF(MATCH(G419,{"Low","Medium","High"},0)*MATCH(H419,{"Low","Medium","High","Critical"},0)&gt;=9,"Critical",IF(MATCH(G419,{"Low","Medium","High"},0)*MATCH(H419,{"Low","Medium","High","Critical"},0)&gt;=6,"High",IF(MATCH(G419,{"Low","Medium","High"},0)*MATCH(H419,{"Low","Medium","High","Critical"},0)&gt;=3,"Medium","Low"))))</f>
        <v/>
      </c>
    </row>
    <row r="420" customFormat="false" ht="15" hidden="false" customHeight="false" outlineLevel="0" collapsed="false">
      <c r="I420" s="11" t="str">
        <f aca="false">IF(OR(G420="",H420=""),"",IF(MATCH(G420,{"Low","Medium","High"},0)*MATCH(H420,{"Low","Medium","High","Critical"},0)&gt;=9,"Critical",IF(MATCH(G420,{"Low","Medium","High"},0)*MATCH(H420,{"Low","Medium","High","Critical"},0)&gt;=6,"High",IF(MATCH(G420,{"Low","Medium","High"},0)*MATCH(H420,{"Low","Medium","High","Critical"},0)&gt;=3,"Medium","Low"))))</f>
        <v/>
      </c>
    </row>
    <row r="421" customFormat="false" ht="15" hidden="false" customHeight="false" outlineLevel="0" collapsed="false">
      <c r="I421" s="11" t="str">
        <f aca="false">IF(OR(G421="",H421=""),"",IF(MATCH(G421,{"Low","Medium","High"},0)*MATCH(H421,{"Low","Medium","High","Critical"},0)&gt;=9,"Critical",IF(MATCH(G421,{"Low","Medium","High"},0)*MATCH(H421,{"Low","Medium","High","Critical"},0)&gt;=6,"High",IF(MATCH(G421,{"Low","Medium","High"},0)*MATCH(H421,{"Low","Medium","High","Critical"},0)&gt;=3,"Medium","Low"))))</f>
        <v/>
      </c>
    </row>
    <row r="422" customFormat="false" ht="15" hidden="false" customHeight="false" outlineLevel="0" collapsed="false">
      <c r="I422" s="11" t="str">
        <f aca="false">IF(OR(G422="",H422=""),"",IF(MATCH(G422,{"Low","Medium","High"},0)*MATCH(H422,{"Low","Medium","High","Critical"},0)&gt;=9,"Critical",IF(MATCH(G422,{"Low","Medium","High"},0)*MATCH(H422,{"Low","Medium","High","Critical"},0)&gt;=6,"High",IF(MATCH(G422,{"Low","Medium","High"},0)*MATCH(H422,{"Low","Medium","High","Critical"},0)&gt;=3,"Medium","Low"))))</f>
        <v/>
      </c>
    </row>
    <row r="423" customFormat="false" ht="15" hidden="false" customHeight="false" outlineLevel="0" collapsed="false">
      <c r="I423" s="11" t="str">
        <f aca="false">IF(OR(G423="",H423=""),"",IF(MATCH(G423,{"Low","Medium","High"},0)*MATCH(H423,{"Low","Medium","High","Critical"},0)&gt;=9,"Critical",IF(MATCH(G423,{"Low","Medium","High"},0)*MATCH(H423,{"Low","Medium","High","Critical"},0)&gt;=6,"High",IF(MATCH(G423,{"Low","Medium","High"},0)*MATCH(H423,{"Low","Medium","High","Critical"},0)&gt;=3,"Medium","Low"))))</f>
        <v/>
      </c>
    </row>
    <row r="424" customFormat="false" ht="15" hidden="false" customHeight="false" outlineLevel="0" collapsed="false">
      <c r="I424" s="11" t="str">
        <f aca="false">IF(OR(G424="",H424=""),"",IF(MATCH(G424,{"Low","Medium","High"},0)*MATCH(H424,{"Low","Medium","High","Critical"},0)&gt;=9,"Critical",IF(MATCH(G424,{"Low","Medium","High"},0)*MATCH(H424,{"Low","Medium","High","Critical"},0)&gt;=6,"High",IF(MATCH(G424,{"Low","Medium","High"},0)*MATCH(H424,{"Low","Medium","High","Critical"},0)&gt;=3,"Medium","Low"))))</f>
        <v/>
      </c>
    </row>
    <row r="425" customFormat="false" ht="15" hidden="false" customHeight="false" outlineLevel="0" collapsed="false">
      <c r="I425" s="11" t="str">
        <f aca="false">IF(OR(G425="",H425=""),"",IF(MATCH(G425,{"Low","Medium","High"},0)*MATCH(H425,{"Low","Medium","High","Critical"},0)&gt;=9,"Critical",IF(MATCH(G425,{"Low","Medium","High"},0)*MATCH(H425,{"Low","Medium","High","Critical"},0)&gt;=6,"High",IF(MATCH(G425,{"Low","Medium","High"},0)*MATCH(H425,{"Low","Medium","High","Critical"},0)&gt;=3,"Medium","Low"))))</f>
        <v/>
      </c>
    </row>
    <row r="426" customFormat="false" ht="15" hidden="false" customHeight="false" outlineLevel="0" collapsed="false">
      <c r="I426" s="11" t="str">
        <f aca="false">IF(OR(G426="",H426=""),"",IF(MATCH(G426,{"Low","Medium","High"},0)*MATCH(H426,{"Low","Medium","High","Critical"},0)&gt;=9,"Critical",IF(MATCH(G426,{"Low","Medium","High"},0)*MATCH(H426,{"Low","Medium","High","Critical"},0)&gt;=6,"High",IF(MATCH(G426,{"Low","Medium","High"},0)*MATCH(H426,{"Low","Medium","High","Critical"},0)&gt;=3,"Medium","Low"))))</f>
        <v/>
      </c>
    </row>
    <row r="427" customFormat="false" ht="15" hidden="false" customHeight="false" outlineLevel="0" collapsed="false">
      <c r="I427" s="11" t="str">
        <f aca="false">IF(OR(G427="",H427=""),"",IF(MATCH(G427,{"Low","Medium","High"},0)*MATCH(H427,{"Low","Medium","High","Critical"},0)&gt;=9,"Critical",IF(MATCH(G427,{"Low","Medium","High"},0)*MATCH(H427,{"Low","Medium","High","Critical"},0)&gt;=6,"High",IF(MATCH(G427,{"Low","Medium","High"},0)*MATCH(H427,{"Low","Medium","High","Critical"},0)&gt;=3,"Medium","Low"))))</f>
        <v/>
      </c>
    </row>
    <row r="428" customFormat="false" ht="15" hidden="false" customHeight="false" outlineLevel="0" collapsed="false">
      <c r="I428" s="11" t="str">
        <f aca="false">IF(OR(G428="",H428=""),"",IF(MATCH(G428,{"Low","Medium","High"},0)*MATCH(H428,{"Low","Medium","High","Critical"},0)&gt;=9,"Critical",IF(MATCH(G428,{"Low","Medium","High"},0)*MATCH(H428,{"Low","Medium","High","Critical"},0)&gt;=6,"High",IF(MATCH(G428,{"Low","Medium","High"},0)*MATCH(H428,{"Low","Medium","High","Critical"},0)&gt;=3,"Medium","Low"))))</f>
        <v/>
      </c>
    </row>
    <row r="429" customFormat="false" ht="15" hidden="false" customHeight="false" outlineLevel="0" collapsed="false">
      <c r="I429" s="11" t="str">
        <f aca="false">IF(OR(G429="",H429=""),"",IF(MATCH(G429,{"Low","Medium","High"},0)*MATCH(H429,{"Low","Medium","High","Critical"},0)&gt;=9,"Critical",IF(MATCH(G429,{"Low","Medium","High"},0)*MATCH(H429,{"Low","Medium","High","Critical"},0)&gt;=6,"High",IF(MATCH(G429,{"Low","Medium","High"},0)*MATCH(H429,{"Low","Medium","High","Critical"},0)&gt;=3,"Medium","Low"))))</f>
        <v/>
      </c>
    </row>
    <row r="430" customFormat="false" ht="15" hidden="false" customHeight="false" outlineLevel="0" collapsed="false">
      <c r="I430" s="11" t="str">
        <f aca="false">IF(OR(G430="",H430=""),"",IF(MATCH(G430,{"Low","Medium","High"},0)*MATCH(H430,{"Low","Medium","High","Critical"},0)&gt;=9,"Critical",IF(MATCH(G430,{"Low","Medium","High"},0)*MATCH(H430,{"Low","Medium","High","Critical"},0)&gt;=6,"High",IF(MATCH(G430,{"Low","Medium","High"},0)*MATCH(H430,{"Low","Medium","High","Critical"},0)&gt;=3,"Medium","Low"))))</f>
        <v/>
      </c>
    </row>
    <row r="431" customFormat="false" ht="15" hidden="false" customHeight="false" outlineLevel="0" collapsed="false">
      <c r="I431" s="11" t="str">
        <f aca="false">IF(OR(G431="",H431=""),"",IF(MATCH(G431,{"Low","Medium","High"},0)*MATCH(H431,{"Low","Medium","High","Critical"},0)&gt;=9,"Critical",IF(MATCH(G431,{"Low","Medium","High"},0)*MATCH(H431,{"Low","Medium","High","Critical"},0)&gt;=6,"High",IF(MATCH(G431,{"Low","Medium","High"},0)*MATCH(H431,{"Low","Medium","High","Critical"},0)&gt;=3,"Medium","Low"))))</f>
        <v/>
      </c>
    </row>
    <row r="432" customFormat="false" ht="15" hidden="false" customHeight="false" outlineLevel="0" collapsed="false">
      <c r="I432" s="11" t="str">
        <f aca="false">IF(OR(G432="",H432=""),"",IF(MATCH(G432,{"Low","Medium","High"},0)*MATCH(H432,{"Low","Medium","High","Critical"},0)&gt;=9,"Critical",IF(MATCH(G432,{"Low","Medium","High"},0)*MATCH(H432,{"Low","Medium","High","Critical"},0)&gt;=6,"High",IF(MATCH(G432,{"Low","Medium","High"},0)*MATCH(H432,{"Low","Medium","High","Critical"},0)&gt;=3,"Medium","Low"))))</f>
        <v/>
      </c>
    </row>
    <row r="433" customFormat="false" ht="15" hidden="false" customHeight="false" outlineLevel="0" collapsed="false">
      <c r="I433" s="11" t="str">
        <f aca="false">IF(OR(G433="",H433=""),"",IF(MATCH(G433,{"Low","Medium","High"},0)*MATCH(H433,{"Low","Medium","High","Critical"},0)&gt;=9,"Critical",IF(MATCH(G433,{"Low","Medium","High"},0)*MATCH(H433,{"Low","Medium","High","Critical"},0)&gt;=6,"High",IF(MATCH(G433,{"Low","Medium","High"},0)*MATCH(H433,{"Low","Medium","High","Critical"},0)&gt;=3,"Medium","Low"))))</f>
        <v/>
      </c>
    </row>
    <row r="434" customFormat="false" ht="15" hidden="false" customHeight="false" outlineLevel="0" collapsed="false">
      <c r="I434" s="11" t="str">
        <f aca="false">IF(OR(G434="",H434=""),"",IF(MATCH(G434,{"Low","Medium","High"},0)*MATCH(H434,{"Low","Medium","High","Critical"},0)&gt;=9,"Critical",IF(MATCH(G434,{"Low","Medium","High"},0)*MATCH(H434,{"Low","Medium","High","Critical"},0)&gt;=6,"High",IF(MATCH(G434,{"Low","Medium","High"},0)*MATCH(H434,{"Low","Medium","High","Critical"},0)&gt;=3,"Medium","Low"))))</f>
        <v/>
      </c>
    </row>
    <row r="435" customFormat="false" ht="15" hidden="false" customHeight="false" outlineLevel="0" collapsed="false">
      <c r="I435" s="11" t="str">
        <f aca="false">IF(OR(G435="",H435=""),"",IF(MATCH(G435,{"Low","Medium","High"},0)*MATCH(H435,{"Low","Medium","High","Critical"},0)&gt;=9,"Critical",IF(MATCH(G435,{"Low","Medium","High"},0)*MATCH(H435,{"Low","Medium","High","Critical"},0)&gt;=6,"High",IF(MATCH(G435,{"Low","Medium","High"},0)*MATCH(H435,{"Low","Medium","High","Critical"},0)&gt;=3,"Medium","Low"))))</f>
        <v/>
      </c>
    </row>
    <row r="436" customFormat="false" ht="15" hidden="false" customHeight="false" outlineLevel="0" collapsed="false">
      <c r="I436" s="11" t="str">
        <f aca="false">IF(OR(G436="",H436=""),"",IF(MATCH(G436,{"Low","Medium","High"},0)*MATCH(H436,{"Low","Medium","High","Critical"},0)&gt;=9,"Critical",IF(MATCH(G436,{"Low","Medium","High"},0)*MATCH(H436,{"Low","Medium","High","Critical"},0)&gt;=6,"High",IF(MATCH(G436,{"Low","Medium","High"},0)*MATCH(H436,{"Low","Medium","High","Critical"},0)&gt;=3,"Medium","Low"))))</f>
        <v/>
      </c>
    </row>
    <row r="437" customFormat="false" ht="15" hidden="false" customHeight="false" outlineLevel="0" collapsed="false">
      <c r="I437" s="11" t="str">
        <f aca="false">IF(OR(G437="",H437=""),"",IF(MATCH(G437,{"Low","Medium","High"},0)*MATCH(H437,{"Low","Medium","High","Critical"},0)&gt;=9,"Critical",IF(MATCH(G437,{"Low","Medium","High"},0)*MATCH(H437,{"Low","Medium","High","Critical"},0)&gt;=6,"High",IF(MATCH(G437,{"Low","Medium","High"},0)*MATCH(H437,{"Low","Medium","High","Critical"},0)&gt;=3,"Medium","Low"))))</f>
        <v/>
      </c>
    </row>
    <row r="438" customFormat="false" ht="15" hidden="false" customHeight="false" outlineLevel="0" collapsed="false">
      <c r="I438" s="11" t="str">
        <f aca="false">IF(OR(G438="",H438=""),"",IF(MATCH(G438,{"Low","Medium","High"},0)*MATCH(H438,{"Low","Medium","High","Critical"},0)&gt;=9,"Critical",IF(MATCH(G438,{"Low","Medium","High"},0)*MATCH(H438,{"Low","Medium","High","Critical"},0)&gt;=6,"High",IF(MATCH(G438,{"Low","Medium","High"},0)*MATCH(H438,{"Low","Medium","High","Critical"},0)&gt;=3,"Medium","Low"))))</f>
        <v/>
      </c>
    </row>
    <row r="439" customFormat="false" ht="15" hidden="false" customHeight="false" outlineLevel="0" collapsed="false">
      <c r="I439" s="11" t="str">
        <f aca="false">IF(OR(G439="",H439=""),"",IF(MATCH(G439,{"Low","Medium","High"},0)*MATCH(H439,{"Low","Medium","High","Critical"},0)&gt;=9,"Critical",IF(MATCH(G439,{"Low","Medium","High"},0)*MATCH(H439,{"Low","Medium","High","Critical"},0)&gt;=6,"High",IF(MATCH(G439,{"Low","Medium","High"},0)*MATCH(H439,{"Low","Medium","High","Critical"},0)&gt;=3,"Medium","Low"))))</f>
        <v/>
      </c>
    </row>
    <row r="440" customFormat="false" ht="15" hidden="false" customHeight="false" outlineLevel="0" collapsed="false">
      <c r="I440" s="11" t="str">
        <f aca="false">IF(OR(G440="",H440=""),"",IF(MATCH(G440,{"Low","Medium","High"},0)*MATCH(H440,{"Low","Medium","High","Critical"},0)&gt;=9,"Critical",IF(MATCH(G440,{"Low","Medium","High"},0)*MATCH(H440,{"Low","Medium","High","Critical"},0)&gt;=6,"High",IF(MATCH(G440,{"Low","Medium","High"},0)*MATCH(H440,{"Low","Medium","High","Critical"},0)&gt;=3,"Medium","Low"))))</f>
        <v/>
      </c>
    </row>
    <row r="441" customFormat="false" ht="15" hidden="false" customHeight="false" outlineLevel="0" collapsed="false">
      <c r="I441" s="11" t="str">
        <f aca="false">IF(OR(G441="",H441=""),"",IF(MATCH(G441,{"Low","Medium","High"},0)*MATCH(H441,{"Low","Medium","High","Critical"},0)&gt;=9,"Critical",IF(MATCH(G441,{"Low","Medium","High"},0)*MATCH(H441,{"Low","Medium","High","Critical"},0)&gt;=6,"High",IF(MATCH(G441,{"Low","Medium","High"},0)*MATCH(H441,{"Low","Medium","High","Critical"},0)&gt;=3,"Medium","Low"))))</f>
        <v/>
      </c>
    </row>
    <row r="442" customFormat="false" ht="15" hidden="false" customHeight="false" outlineLevel="0" collapsed="false">
      <c r="I442" s="11" t="str">
        <f aca="false">IF(OR(G442="",H442=""),"",IF(MATCH(G442,{"Low","Medium","High"},0)*MATCH(H442,{"Low","Medium","High","Critical"},0)&gt;=9,"Critical",IF(MATCH(G442,{"Low","Medium","High"},0)*MATCH(H442,{"Low","Medium","High","Critical"},0)&gt;=6,"High",IF(MATCH(G442,{"Low","Medium","High"},0)*MATCH(H442,{"Low","Medium","High","Critical"},0)&gt;=3,"Medium","Low"))))</f>
        <v/>
      </c>
    </row>
    <row r="443" customFormat="false" ht="15" hidden="false" customHeight="false" outlineLevel="0" collapsed="false">
      <c r="I443" s="11" t="str">
        <f aca="false">IF(OR(G443="",H443=""),"",IF(MATCH(G443,{"Low","Medium","High"},0)*MATCH(H443,{"Low","Medium","High","Critical"},0)&gt;=9,"Critical",IF(MATCH(G443,{"Low","Medium","High"},0)*MATCH(H443,{"Low","Medium","High","Critical"},0)&gt;=6,"High",IF(MATCH(G443,{"Low","Medium","High"},0)*MATCH(H443,{"Low","Medium","High","Critical"},0)&gt;=3,"Medium","Low"))))</f>
        <v/>
      </c>
    </row>
    <row r="444" customFormat="false" ht="15" hidden="false" customHeight="false" outlineLevel="0" collapsed="false">
      <c r="I444" s="11" t="str">
        <f aca="false">IF(OR(G444="",H444=""),"",IF(MATCH(G444,{"Low","Medium","High"},0)*MATCH(H444,{"Low","Medium","High","Critical"},0)&gt;=9,"Critical",IF(MATCH(G444,{"Low","Medium","High"},0)*MATCH(H444,{"Low","Medium","High","Critical"},0)&gt;=6,"High",IF(MATCH(G444,{"Low","Medium","High"},0)*MATCH(H444,{"Low","Medium","High","Critical"},0)&gt;=3,"Medium","Low"))))</f>
        <v/>
      </c>
    </row>
    <row r="445" customFormat="false" ht="15" hidden="false" customHeight="false" outlineLevel="0" collapsed="false">
      <c r="I445" s="11" t="str">
        <f aca="false">IF(OR(G445="",H445=""),"",IF(MATCH(G445,{"Low","Medium","High"},0)*MATCH(H445,{"Low","Medium","High","Critical"},0)&gt;=9,"Critical",IF(MATCH(G445,{"Low","Medium","High"},0)*MATCH(H445,{"Low","Medium","High","Critical"},0)&gt;=6,"High",IF(MATCH(G445,{"Low","Medium","High"},0)*MATCH(H445,{"Low","Medium","High","Critical"},0)&gt;=3,"Medium","Low"))))</f>
        <v/>
      </c>
    </row>
    <row r="446" customFormat="false" ht="15" hidden="false" customHeight="false" outlineLevel="0" collapsed="false">
      <c r="I446" s="11" t="str">
        <f aca="false">IF(OR(G446="",H446=""),"",IF(MATCH(G446,{"Low","Medium","High"},0)*MATCH(H446,{"Low","Medium","High","Critical"},0)&gt;=9,"Critical",IF(MATCH(G446,{"Low","Medium","High"},0)*MATCH(H446,{"Low","Medium","High","Critical"},0)&gt;=6,"High",IF(MATCH(G446,{"Low","Medium","High"},0)*MATCH(H446,{"Low","Medium","High","Critical"},0)&gt;=3,"Medium","Low"))))</f>
        <v/>
      </c>
    </row>
    <row r="447" customFormat="false" ht="15" hidden="false" customHeight="false" outlineLevel="0" collapsed="false">
      <c r="I447" s="11" t="str">
        <f aca="false">IF(OR(G447="",H447=""),"",IF(MATCH(G447,{"Low","Medium","High"},0)*MATCH(H447,{"Low","Medium","High","Critical"},0)&gt;=9,"Critical",IF(MATCH(G447,{"Low","Medium","High"},0)*MATCH(H447,{"Low","Medium","High","Critical"},0)&gt;=6,"High",IF(MATCH(G447,{"Low","Medium","High"},0)*MATCH(H447,{"Low","Medium","High","Critical"},0)&gt;=3,"Medium","Low"))))</f>
        <v/>
      </c>
    </row>
    <row r="448" customFormat="false" ht="15" hidden="false" customHeight="false" outlineLevel="0" collapsed="false">
      <c r="I448" s="11" t="str">
        <f aca="false">IF(OR(G448="",H448=""),"",IF(MATCH(G448,{"Low","Medium","High"},0)*MATCH(H448,{"Low","Medium","High","Critical"},0)&gt;=9,"Critical",IF(MATCH(G448,{"Low","Medium","High"},0)*MATCH(H448,{"Low","Medium","High","Critical"},0)&gt;=6,"High",IF(MATCH(G448,{"Low","Medium","High"},0)*MATCH(H448,{"Low","Medium","High","Critical"},0)&gt;=3,"Medium","Low"))))</f>
        <v/>
      </c>
    </row>
    <row r="449" customFormat="false" ht="15" hidden="false" customHeight="false" outlineLevel="0" collapsed="false">
      <c r="I449" s="11" t="str">
        <f aca="false">IF(OR(G449="",H449=""),"",IF(MATCH(G449,{"Low","Medium","High"},0)*MATCH(H449,{"Low","Medium","High","Critical"},0)&gt;=9,"Critical",IF(MATCH(G449,{"Low","Medium","High"},0)*MATCH(H449,{"Low","Medium","High","Critical"},0)&gt;=6,"High",IF(MATCH(G449,{"Low","Medium","High"},0)*MATCH(H449,{"Low","Medium","High","Critical"},0)&gt;=3,"Medium","Low"))))</f>
        <v/>
      </c>
    </row>
    <row r="450" customFormat="false" ht="15" hidden="false" customHeight="false" outlineLevel="0" collapsed="false">
      <c r="I450" s="11" t="str">
        <f aca="false">IF(OR(G450="",H450=""),"",IF(MATCH(G450,{"Low","Medium","High"},0)*MATCH(H450,{"Low","Medium","High","Critical"},0)&gt;=9,"Critical",IF(MATCH(G450,{"Low","Medium","High"},0)*MATCH(H450,{"Low","Medium","High","Critical"},0)&gt;=6,"High",IF(MATCH(G450,{"Low","Medium","High"},0)*MATCH(H450,{"Low","Medium","High","Critical"},0)&gt;=3,"Medium","Low"))))</f>
        <v/>
      </c>
    </row>
    <row r="451" customFormat="false" ht="15" hidden="false" customHeight="false" outlineLevel="0" collapsed="false">
      <c r="I451" s="11" t="str">
        <f aca="false">IF(OR(G451="",H451=""),"",IF(MATCH(G451,{"Low","Medium","High"},0)*MATCH(H451,{"Low","Medium","High","Critical"},0)&gt;=9,"Critical",IF(MATCH(G451,{"Low","Medium","High"},0)*MATCH(H451,{"Low","Medium","High","Critical"},0)&gt;=6,"High",IF(MATCH(G451,{"Low","Medium","High"},0)*MATCH(H451,{"Low","Medium","High","Critical"},0)&gt;=3,"Medium","Low"))))</f>
        <v/>
      </c>
    </row>
    <row r="452" customFormat="false" ht="15" hidden="false" customHeight="false" outlineLevel="0" collapsed="false">
      <c r="I452" s="11" t="str">
        <f aca="false">IF(OR(G452="",H452=""),"",IF(MATCH(G452,{"Low","Medium","High"},0)*MATCH(H452,{"Low","Medium","High","Critical"},0)&gt;=9,"Critical",IF(MATCH(G452,{"Low","Medium","High"},0)*MATCH(H452,{"Low","Medium","High","Critical"},0)&gt;=6,"High",IF(MATCH(G452,{"Low","Medium","High"},0)*MATCH(H452,{"Low","Medium","High","Critical"},0)&gt;=3,"Medium","Low"))))</f>
        <v/>
      </c>
    </row>
    <row r="453" customFormat="false" ht="15" hidden="false" customHeight="false" outlineLevel="0" collapsed="false">
      <c r="I453" s="11" t="str">
        <f aca="false">IF(OR(G453="",H453=""),"",IF(MATCH(G453,{"Low","Medium","High"},0)*MATCH(H453,{"Low","Medium","High","Critical"},0)&gt;=9,"Critical",IF(MATCH(G453,{"Low","Medium","High"},0)*MATCH(H453,{"Low","Medium","High","Critical"},0)&gt;=6,"High",IF(MATCH(G453,{"Low","Medium","High"},0)*MATCH(H453,{"Low","Medium","High","Critical"},0)&gt;=3,"Medium","Low"))))</f>
        <v/>
      </c>
    </row>
    <row r="454" customFormat="false" ht="15" hidden="false" customHeight="false" outlineLevel="0" collapsed="false">
      <c r="I454" s="11" t="str">
        <f aca="false">IF(OR(G454="",H454=""),"",IF(MATCH(G454,{"Low","Medium","High"},0)*MATCH(H454,{"Low","Medium","High","Critical"},0)&gt;=9,"Critical",IF(MATCH(G454,{"Low","Medium","High"},0)*MATCH(H454,{"Low","Medium","High","Critical"},0)&gt;=6,"High",IF(MATCH(G454,{"Low","Medium","High"},0)*MATCH(H454,{"Low","Medium","High","Critical"},0)&gt;=3,"Medium","Low"))))</f>
        <v/>
      </c>
    </row>
    <row r="455" customFormat="false" ht="15" hidden="false" customHeight="false" outlineLevel="0" collapsed="false">
      <c r="I455" s="11" t="str">
        <f aca="false">IF(OR(G455="",H455=""),"",IF(MATCH(G455,{"Low","Medium","High"},0)*MATCH(H455,{"Low","Medium","High","Critical"},0)&gt;=9,"Critical",IF(MATCH(G455,{"Low","Medium","High"},0)*MATCH(H455,{"Low","Medium","High","Critical"},0)&gt;=6,"High",IF(MATCH(G455,{"Low","Medium","High"},0)*MATCH(H455,{"Low","Medium","High","Critical"},0)&gt;=3,"Medium","Low"))))</f>
        <v/>
      </c>
    </row>
    <row r="456" customFormat="false" ht="15" hidden="false" customHeight="false" outlineLevel="0" collapsed="false">
      <c r="I456" s="11" t="str">
        <f aca="false">IF(OR(G456="",H456=""),"",IF(MATCH(G456,{"Low","Medium","High"},0)*MATCH(H456,{"Low","Medium","High","Critical"},0)&gt;=9,"Critical",IF(MATCH(G456,{"Low","Medium","High"},0)*MATCH(H456,{"Low","Medium","High","Critical"},0)&gt;=6,"High",IF(MATCH(G456,{"Low","Medium","High"},0)*MATCH(H456,{"Low","Medium","High","Critical"},0)&gt;=3,"Medium","Low"))))</f>
        <v/>
      </c>
    </row>
    <row r="457" customFormat="false" ht="15" hidden="false" customHeight="false" outlineLevel="0" collapsed="false">
      <c r="I457" s="11" t="str">
        <f aca="false">IF(OR(G457="",H457=""),"",IF(MATCH(G457,{"Low","Medium","High"},0)*MATCH(H457,{"Low","Medium","High","Critical"},0)&gt;=9,"Critical",IF(MATCH(G457,{"Low","Medium","High"},0)*MATCH(H457,{"Low","Medium","High","Critical"},0)&gt;=6,"High",IF(MATCH(G457,{"Low","Medium","High"},0)*MATCH(H457,{"Low","Medium","High","Critical"},0)&gt;=3,"Medium","Low"))))</f>
        <v/>
      </c>
    </row>
    <row r="458" customFormat="false" ht="15" hidden="false" customHeight="false" outlineLevel="0" collapsed="false">
      <c r="I458" s="11" t="str">
        <f aca="false">IF(OR(G458="",H458=""),"",IF(MATCH(G458,{"Low","Medium","High"},0)*MATCH(H458,{"Low","Medium","High","Critical"},0)&gt;=9,"Critical",IF(MATCH(G458,{"Low","Medium","High"},0)*MATCH(H458,{"Low","Medium","High","Critical"},0)&gt;=6,"High",IF(MATCH(G458,{"Low","Medium","High"},0)*MATCH(H458,{"Low","Medium","High","Critical"},0)&gt;=3,"Medium","Low"))))</f>
        <v/>
      </c>
    </row>
    <row r="459" customFormat="false" ht="15" hidden="false" customHeight="false" outlineLevel="0" collapsed="false">
      <c r="I459" s="11" t="str">
        <f aca="false">IF(OR(G459="",H459=""),"",IF(MATCH(G459,{"Low","Medium","High"},0)*MATCH(H459,{"Low","Medium","High","Critical"},0)&gt;=9,"Critical",IF(MATCH(G459,{"Low","Medium","High"},0)*MATCH(H459,{"Low","Medium","High","Critical"},0)&gt;=6,"High",IF(MATCH(G459,{"Low","Medium","High"},0)*MATCH(H459,{"Low","Medium","High","Critical"},0)&gt;=3,"Medium","Low"))))</f>
        <v/>
      </c>
    </row>
    <row r="460" customFormat="false" ht="15" hidden="false" customHeight="false" outlineLevel="0" collapsed="false">
      <c r="I460" s="11" t="str">
        <f aca="false">IF(OR(G460="",H460=""),"",IF(MATCH(G460,{"Low","Medium","High"},0)*MATCH(H460,{"Low","Medium","High","Critical"},0)&gt;=9,"Critical",IF(MATCH(G460,{"Low","Medium","High"},0)*MATCH(H460,{"Low","Medium","High","Critical"},0)&gt;=6,"High",IF(MATCH(G460,{"Low","Medium","High"},0)*MATCH(H460,{"Low","Medium","High","Critical"},0)&gt;=3,"Medium","Low"))))</f>
        <v/>
      </c>
    </row>
    <row r="461" customFormat="false" ht="15" hidden="false" customHeight="false" outlineLevel="0" collapsed="false">
      <c r="I461" s="11" t="str">
        <f aca="false">IF(OR(G461="",H461=""),"",IF(MATCH(G461,{"Low","Medium","High"},0)*MATCH(H461,{"Low","Medium","High","Critical"},0)&gt;=9,"Critical",IF(MATCH(G461,{"Low","Medium","High"},0)*MATCH(H461,{"Low","Medium","High","Critical"},0)&gt;=6,"High",IF(MATCH(G461,{"Low","Medium","High"},0)*MATCH(H461,{"Low","Medium","High","Critical"},0)&gt;=3,"Medium","Low"))))</f>
        <v/>
      </c>
    </row>
    <row r="462" customFormat="false" ht="15" hidden="false" customHeight="false" outlineLevel="0" collapsed="false">
      <c r="I462" s="11" t="str">
        <f aca="false">IF(OR(G462="",H462=""),"",IF(MATCH(G462,{"Low","Medium","High"},0)*MATCH(H462,{"Low","Medium","High","Critical"},0)&gt;=9,"Critical",IF(MATCH(G462,{"Low","Medium","High"},0)*MATCH(H462,{"Low","Medium","High","Critical"},0)&gt;=6,"High",IF(MATCH(G462,{"Low","Medium","High"},0)*MATCH(H462,{"Low","Medium","High","Critical"},0)&gt;=3,"Medium","Low"))))</f>
        <v/>
      </c>
    </row>
    <row r="463" customFormat="false" ht="15" hidden="false" customHeight="false" outlineLevel="0" collapsed="false">
      <c r="I463" s="11" t="str">
        <f aca="false">IF(OR(G463="",H463=""),"",IF(MATCH(G463,{"Low","Medium","High"},0)*MATCH(H463,{"Low","Medium","High","Critical"},0)&gt;=9,"Critical",IF(MATCH(G463,{"Low","Medium","High"},0)*MATCH(H463,{"Low","Medium","High","Critical"},0)&gt;=6,"High",IF(MATCH(G463,{"Low","Medium","High"},0)*MATCH(H463,{"Low","Medium","High","Critical"},0)&gt;=3,"Medium","Low"))))</f>
        <v/>
      </c>
    </row>
    <row r="464" customFormat="false" ht="15" hidden="false" customHeight="false" outlineLevel="0" collapsed="false">
      <c r="I464" s="11" t="str">
        <f aca="false">IF(OR(G464="",H464=""),"",IF(MATCH(G464,{"Low","Medium","High"},0)*MATCH(H464,{"Low","Medium","High","Critical"},0)&gt;=9,"Critical",IF(MATCH(G464,{"Low","Medium","High"},0)*MATCH(H464,{"Low","Medium","High","Critical"},0)&gt;=6,"High",IF(MATCH(G464,{"Low","Medium","High"},0)*MATCH(H464,{"Low","Medium","High","Critical"},0)&gt;=3,"Medium","Low"))))</f>
        <v/>
      </c>
    </row>
    <row r="465" customFormat="false" ht="15" hidden="false" customHeight="false" outlineLevel="0" collapsed="false">
      <c r="I465" s="11" t="str">
        <f aca="false">IF(OR(G465="",H465=""),"",IF(MATCH(G465,{"Low","Medium","High"},0)*MATCH(H465,{"Low","Medium","High","Critical"},0)&gt;=9,"Critical",IF(MATCH(G465,{"Low","Medium","High"},0)*MATCH(H465,{"Low","Medium","High","Critical"},0)&gt;=6,"High",IF(MATCH(G465,{"Low","Medium","High"},0)*MATCH(H465,{"Low","Medium","High","Critical"},0)&gt;=3,"Medium","Low"))))</f>
        <v/>
      </c>
    </row>
    <row r="466" customFormat="false" ht="15" hidden="false" customHeight="false" outlineLevel="0" collapsed="false">
      <c r="I466" s="11" t="str">
        <f aca="false">IF(OR(G466="",H466=""),"",IF(MATCH(G466,{"Low","Medium","High"},0)*MATCH(H466,{"Low","Medium","High","Critical"},0)&gt;=9,"Critical",IF(MATCH(G466,{"Low","Medium","High"},0)*MATCH(H466,{"Low","Medium","High","Critical"},0)&gt;=6,"High",IF(MATCH(G466,{"Low","Medium","High"},0)*MATCH(H466,{"Low","Medium","High","Critical"},0)&gt;=3,"Medium","Low"))))</f>
        <v/>
      </c>
    </row>
    <row r="467" customFormat="false" ht="15" hidden="false" customHeight="false" outlineLevel="0" collapsed="false">
      <c r="I467" s="11" t="str">
        <f aca="false">IF(OR(G467="",H467=""),"",IF(MATCH(G467,{"Low","Medium","High"},0)*MATCH(H467,{"Low","Medium","High","Critical"},0)&gt;=9,"Critical",IF(MATCH(G467,{"Low","Medium","High"},0)*MATCH(H467,{"Low","Medium","High","Critical"},0)&gt;=6,"High",IF(MATCH(G467,{"Low","Medium","High"},0)*MATCH(H467,{"Low","Medium","High","Critical"},0)&gt;=3,"Medium","Low"))))</f>
        <v/>
      </c>
    </row>
    <row r="468" customFormat="false" ht="15" hidden="false" customHeight="false" outlineLevel="0" collapsed="false">
      <c r="I468" s="11" t="str">
        <f aca="false">IF(OR(G468="",H468=""),"",IF(MATCH(G468,{"Low","Medium","High"},0)*MATCH(H468,{"Low","Medium","High","Critical"},0)&gt;=9,"Critical",IF(MATCH(G468,{"Low","Medium","High"},0)*MATCH(H468,{"Low","Medium","High","Critical"},0)&gt;=6,"High",IF(MATCH(G468,{"Low","Medium","High"},0)*MATCH(H468,{"Low","Medium","High","Critical"},0)&gt;=3,"Medium","Low"))))</f>
        <v/>
      </c>
    </row>
    <row r="469" customFormat="false" ht="15" hidden="false" customHeight="false" outlineLevel="0" collapsed="false">
      <c r="I469" s="11" t="str">
        <f aca="false">IF(OR(G469="",H469=""),"",IF(MATCH(G469,{"Low","Medium","High"},0)*MATCH(H469,{"Low","Medium","High","Critical"},0)&gt;=9,"Critical",IF(MATCH(G469,{"Low","Medium","High"},0)*MATCH(H469,{"Low","Medium","High","Critical"},0)&gt;=6,"High",IF(MATCH(G469,{"Low","Medium","High"},0)*MATCH(H469,{"Low","Medium","High","Critical"},0)&gt;=3,"Medium","Low"))))</f>
        <v/>
      </c>
    </row>
    <row r="470" customFormat="false" ht="15" hidden="false" customHeight="false" outlineLevel="0" collapsed="false">
      <c r="I470" s="11" t="str">
        <f aca="false">IF(OR(G470="",H470=""),"",IF(MATCH(G470,{"Low","Medium","High"},0)*MATCH(H470,{"Low","Medium","High","Critical"},0)&gt;=9,"Critical",IF(MATCH(G470,{"Low","Medium","High"},0)*MATCH(H470,{"Low","Medium","High","Critical"},0)&gt;=6,"High",IF(MATCH(G470,{"Low","Medium","High"},0)*MATCH(H470,{"Low","Medium","High","Critical"},0)&gt;=3,"Medium","Low"))))</f>
        <v/>
      </c>
    </row>
    <row r="471" customFormat="false" ht="15" hidden="false" customHeight="false" outlineLevel="0" collapsed="false">
      <c r="I471" s="11" t="str">
        <f aca="false">IF(OR(G471="",H471=""),"",IF(MATCH(G471,{"Low","Medium","High"},0)*MATCH(H471,{"Low","Medium","High","Critical"},0)&gt;=9,"Critical",IF(MATCH(G471,{"Low","Medium","High"},0)*MATCH(H471,{"Low","Medium","High","Critical"},0)&gt;=6,"High",IF(MATCH(G471,{"Low","Medium","High"},0)*MATCH(H471,{"Low","Medium","High","Critical"},0)&gt;=3,"Medium","Low"))))</f>
        <v/>
      </c>
    </row>
    <row r="472" customFormat="false" ht="15" hidden="false" customHeight="false" outlineLevel="0" collapsed="false">
      <c r="I472" s="11" t="str">
        <f aca="false">IF(OR(G472="",H472=""),"",IF(MATCH(G472,{"Low","Medium","High"},0)*MATCH(H472,{"Low","Medium","High","Critical"},0)&gt;=9,"Critical",IF(MATCH(G472,{"Low","Medium","High"},0)*MATCH(H472,{"Low","Medium","High","Critical"},0)&gt;=6,"High",IF(MATCH(G472,{"Low","Medium","High"},0)*MATCH(H472,{"Low","Medium","High","Critical"},0)&gt;=3,"Medium","Low"))))</f>
        <v/>
      </c>
    </row>
    <row r="473" customFormat="false" ht="15" hidden="false" customHeight="false" outlineLevel="0" collapsed="false">
      <c r="I473" s="11" t="str">
        <f aca="false">IF(OR(G473="",H473=""),"",IF(MATCH(G473,{"Low","Medium","High"},0)*MATCH(H473,{"Low","Medium","High","Critical"},0)&gt;=9,"Critical",IF(MATCH(G473,{"Low","Medium","High"},0)*MATCH(H473,{"Low","Medium","High","Critical"},0)&gt;=6,"High",IF(MATCH(G473,{"Low","Medium","High"},0)*MATCH(H473,{"Low","Medium","High","Critical"},0)&gt;=3,"Medium","Low"))))</f>
        <v/>
      </c>
    </row>
    <row r="474" customFormat="false" ht="15" hidden="false" customHeight="false" outlineLevel="0" collapsed="false">
      <c r="I474" s="11" t="str">
        <f aca="false">IF(OR(G474="",H474=""),"",IF(MATCH(G474,{"Low","Medium","High"},0)*MATCH(H474,{"Low","Medium","High","Critical"},0)&gt;=9,"Critical",IF(MATCH(G474,{"Low","Medium","High"},0)*MATCH(H474,{"Low","Medium","High","Critical"},0)&gt;=6,"High",IF(MATCH(G474,{"Low","Medium","High"},0)*MATCH(H474,{"Low","Medium","High","Critical"},0)&gt;=3,"Medium","Low"))))</f>
        <v/>
      </c>
    </row>
    <row r="475" customFormat="false" ht="15" hidden="false" customHeight="false" outlineLevel="0" collapsed="false">
      <c r="I475" s="11" t="str">
        <f aca="false">IF(OR(G475="",H475=""),"",IF(MATCH(G475,{"Low","Medium","High"},0)*MATCH(H475,{"Low","Medium","High","Critical"},0)&gt;=9,"Critical",IF(MATCH(G475,{"Low","Medium","High"},0)*MATCH(H475,{"Low","Medium","High","Critical"},0)&gt;=6,"High",IF(MATCH(G475,{"Low","Medium","High"},0)*MATCH(H475,{"Low","Medium","High","Critical"},0)&gt;=3,"Medium","Low"))))</f>
        <v/>
      </c>
    </row>
    <row r="476" customFormat="false" ht="15" hidden="false" customHeight="false" outlineLevel="0" collapsed="false">
      <c r="I476" s="11" t="str">
        <f aca="false">IF(OR(G476="",H476=""),"",IF(MATCH(G476,{"Low","Medium","High"},0)*MATCH(H476,{"Low","Medium","High","Critical"},0)&gt;=9,"Critical",IF(MATCH(G476,{"Low","Medium","High"},0)*MATCH(H476,{"Low","Medium","High","Critical"},0)&gt;=6,"High",IF(MATCH(G476,{"Low","Medium","High"},0)*MATCH(H476,{"Low","Medium","High","Critical"},0)&gt;=3,"Medium","Low"))))</f>
        <v/>
      </c>
    </row>
    <row r="477" customFormat="false" ht="15" hidden="false" customHeight="false" outlineLevel="0" collapsed="false">
      <c r="I477" s="11" t="str">
        <f aca="false">IF(OR(G477="",H477=""),"",IF(MATCH(G477,{"Low","Medium","High"},0)*MATCH(H477,{"Low","Medium","High","Critical"},0)&gt;=9,"Critical",IF(MATCH(G477,{"Low","Medium","High"},0)*MATCH(H477,{"Low","Medium","High","Critical"},0)&gt;=6,"High",IF(MATCH(G477,{"Low","Medium","High"},0)*MATCH(H477,{"Low","Medium","High","Critical"},0)&gt;=3,"Medium","Low"))))</f>
        <v/>
      </c>
    </row>
    <row r="478" customFormat="false" ht="15" hidden="false" customHeight="false" outlineLevel="0" collapsed="false">
      <c r="I478" s="11" t="str">
        <f aca="false">IF(OR(G478="",H478=""),"",IF(MATCH(G478,{"Low","Medium","High"},0)*MATCH(H478,{"Low","Medium","High","Critical"},0)&gt;=9,"Critical",IF(MATCH(G478,{"Low","Medium","High"},0)*MATCH(H478,{"Low","Medium","High","Critical"},0)&gt;=6,"High",IF(MATCH(G478,{"Low","Medium","High"},0)*MATCH(H478,{"Low","Medium","High","Critical"},0)&gt;=3,"Medium","Low"))))</f>
        <v/>
      </c>
    </row>
    <row r="479" customFormat="false" ht="15" hidden="false" customHeight="false" outlineLevel="0" collapsed="false">
      <c r="I479" s="11" t="str">
        <f aca="false">IF(OR(G479="",H479=""),"",IF(MATCH(G479,{"Low","Medium","High"},0)*MATCH(H479,{"Low","Medium","High","Critical"},0)&gt;=9,"Critical",IF(MATCH(G479,{"Low","Medium","High"},0)*MATCH(H479,{"Low","Medium","High","Critical"},0)&gt;=6,"High",IF(MATCH(G479,{"Low","Medium","High"},0)*MATCH(H479,{"Low","Medium","High","Critical"},0)&gt;=3,"Medium","Low"))))</f>
        <v/>
      </c>
    </row>
    <row r="480" customFormat="false" ht="15" hidden="false" customHeight="false" outlineLevel="0" collapsed="false">
      <c r="I480" s="11" t="str">
        <f aca="false">IF(OR(G480="",H480=""),"",IF(MATCH(G480,{"Low","Medium","High"},0)*MATCH(H480,{"Low","Medium","High","Critical"},0)&gt;=9,"Critical",IF(MATCH(G480,{"Low","Medium","High"},0)*MATCH(H480,{"Low","Medium","High","Critical"},0)&gt;=6,"High",IF(MATCH(G480,{"Low","Medium","High"},0)*MATCH(H480,{"Low","Medium","High","Critical"},0)&gt;=3,"Medium","Low"))))</f>
        <v/>
      </c>
    </row>
    <row r="481" customFormat="false" ht="15" hidden="false" customHeight="false" outlineLevel="0" collapsed="false">
      <c r="I481" s="11" t="str">
        <f aca="false">IF(OR(G481="",H481=""),"",IF(MATCH(G481,{"Low","Medium","High"},0)*MATCH(H481,{"Low","Medium","High","Critical"},0)&gt;=9,"Critical",IF(MATCH(G481,{"Low","Medium","High"},0)*MATCH(H481,{"Low","Medium","High","Critical"},0)&gt;=6,"High",IF(MATCH(G481,{"Low","Medium","High"},0)*MATCH(H481,{"Low","Medium","High","Critical"},0)&gt;=3,"Medium","Low"))))</f>
        <v/>
      </c>
    </row>
    <row r="482" customFormat="false" ht="15" hidden="false" customHeight="false" outlineLevel="0" collapsed="false">
      <c r="I482" s="11" t="str">
        <f aca="false">IF(OR(G482="",H482=""),"",IF(MATCH(G482,{"Low","Medium","High"},0)*MATCH(H482,{"Low","Medium","High","Critical"},0)&gt;=9,"Critical",IF(MATCH(G482,{"Low","Medium","High"},0)*MATCH(H482,{"Low","Medium","High","Critical"},0)&gt;=6,"High",IF(MATCH(G482,{"Low","Medium","High"},0)*MATCH(H482,{"Low","Medium","High","Critical"},0)&gt;=3,"Medium","Low"))))</f>
        <v/>
      </c>
    </row>
    <row r="483" customFormat="false" ht="15" hidden="false" customHeight="false" outlineLevel="0" collapsed="false">
      <c r="I483" s="11" t="str">
        <f aca="false">IF(OR(G483="",H483=""),"",IF(MATCH(G483,{"Low","Medium","High"},0)*MATCH(H483,{"Low","Medium","High","Critical"},0)&gt;=9,"Critical",IF(MATCH(G483,{"Low","Medium","High"},0)*MATCH(H483,{"Low","Medium","High","Critical"},0)&gt;=6,"High",IF(MATCH(G483,{"Low","Medium","High"},0)*MATCH(H483,{"Low","Medium","High","Critical"},0)&gt;=3,"Medium","Low"))))</f>
        <v/>
      </c>
    </row>
    <row r="484" customFormat="false" ht="15" hidden="false" customHeight="false" outlineLevel="0" collapsed="false">
      <c r="I484" s="11" t="str">
        <f aca="false">IF(OR(G484="",H484=""),"",IF(MATCH(G484,{"Low","Medium","High"},0)*MATCH(H484,{"Low","Medium","High","Critical"},0)&gt;=9,"Critical",IF(MATCH(G484,{"Low","Medium","High"},0)*MATCH(H484,{"Low","Medium","High","Critical"},0)&gt;=6,"High",IF(MATCH(G484,{"Low","Medium","High"},0)*MATCH(H484,{"Low","Medium","High","Critical"},0)&gt;=3,"Medium","Low"))))</f>
        <v/>
      </c>
    </row>
    <row r="485" customFormat="false" ht="15" hidden="false" customHeight="false" outlineLevel="0" collapsed="false">
      <c r="I485" s="11" t="str">
        <f aca="false">IF(OR(G485="",H485=""),"",IF(MATCH(G485,{"Low","Medium","High"},0)*MATCH(H485,{"Low","Medium","High","Critical"},0)&gt;=9,"Critical",IF(MATCH(G485,{"Low","Medium","High"},0)*MATCH(H485,{"Low","Medium","High","Critical"},0)&gt;=6,"High",IF(MATCH(G485,{"Low","Medium","High"},0)*MATCH(H485,{"Low","Medium","High","Critical"},0)&gt;=3,"Medium","Low"))))</f>
        <v/>
      </c>
    </row>
    <row r="486" customFormat="false" ht="15" hidden="false" customHeight="false" outlineLevel="0" collapsed="false">
      <c r="I486" s="11" t="str">
        <f aca="false">IF(OR(G486="",H486=""),"",IF(MATCH(G486,{"Low","Medium","High"},0)*MATCH(H486,{"Low","Medium","High","Critical"},0)&gt;=9,"Critical",IF(MATCH(G486,{"Low","Medium","High"},0)*MATCH(H486,{"Low","Medium","High","Critical"},0)&gt;=6,"High",IF(MATCH(G486,{"Low","Medium","High"},0)*MATCH(H486,{"Low","Medium","High","Critical"},0)&gt;=3,"Medium","Low"))))</f>
        <v/>
      </c>
    </row>
    <row r="487" customFormat="false" ht="15" hidden="false" customHeight="false" outlineLevel="0" collapsed="false">
      <c r="I487" s="11" t="str">
        <f aca="false">IF(OR(G487="",H487=""),"",IF(MATCH(G487,{"Low","Medium","High"},0)*MATCH(H487,{"Low","Medium","High","Critical"},0)&gt;=9,"Critical",IF(MATCH(G487,{"Low","Medium","High"},0)*MATCH(H487,{"Low","Medium","High","Critical"},0)&gt;=6,"High",IF(MATCH(G487,{"Low","Medium","High"},0)*MATCH(H487,{"Low","Medium","High","Critical"},0)&gt;=3,"Medium","Low"))))</f>
        <v/>
      </c>
    </row>
    <row r="488" customFormat="false" ht="15" hidden="false" customHeight="false" outlineLevel="0" collapsed="false">
      <c r="I488" s="11" t="str">
        <f aca="false">IF(OR(G488="",H488=""),"",IF(MATCH(G488,{"Low","Medium","High"},0)*MATCH(H488,{"Low","Medium","High","Critical"},0)&gt;=9,"Critical",IF(MATCH(G488,{"Low","Medium","High"},0)*MATCH(H488,{"Low","Medium","High","Critical"},0)&gt;=6,"High",IF(MATCH(G488,{"Low","Medium","High"},0)*MATCH(H488,{"Low","Medium","High","Critical"},0)&gt;=3,"Medium","Low"))))</f>
        <v/>
      </c>
    </row>
    <row r="489" customFormat="false" ht="15" hidden="false" customHeight="false" outlineLevel="0" collapsed="false">
      <c r="I489" s="11" t="str">
        <f aca="false">IF(OR(G489="",H489=""),"",IF(MATCH(G489,{"Low","Medium","High"},0)*MATCH(H489,{"Low","Medium","High","Critical"},0)&gt;=9,"Critical",IF(MATCH(G489,{"Low","Medium","High"},0)*MATCH(H489,{"Low","Medium","High","Critical"},0)&gt;=6,"High",IF(MATCH(G489,{"Low","Medium","High"},0)*MATCH(H489,{"Low","Medium","High","Critical"},0)&gt;=3,"Medium","Low"))))</f>
        <v/>
      </c>
    </row>
    <row r="490" customFormat="false" ht="15" hidden="false" customHeight="false" outlineLevel="0" collapsed="false">
      <c r="I490" s="11" t="str">
        <f aca="false">IF(OR(G490="",H490=""),"",IF(MATCH(G490,{"Low","Medium","High"},0)*MATCH(H490,{"Low","Medium","High","Critical"},0)&gt;=9,"Critical",IF(MATCH(G490,{"Low","Medium","High"},0)*MATCH(H490,{"Low","Medium","High","Critical"},0)&gt;=6,"High",IF(MATCH(G490,{"Low","Medium","High"},0)*MATCH(H490,{"Low","Medium","High","Critical"},0)&gt;=3,"Medium","Low"))))</f>
        <v/>
      </c>
    </row>
    <row r="491" customFormat="false" ht="15" hidden="false" customHeight="false" outlineLevel="0" collapsed="false">
      <c r="I491" s="11" t="str">
        <f aca="false">IF(OR(G491="",H491=""),"",IF(MATCH(G491,{"Low","Medium","High"},0)*MATCH(H491,{"Low","Medium","High","Critical"},0)&gt;=9,"Critical",IF(MATCH(G491,{"Low","Medium","High"},0)*MATCH(H491,{"Low","Medium","High","Critical"},0)&gt;=6,"High",IF(MATCH(G491,{"Low","Medium","High"},0)*MATCH(H491,{"Low","Medium","High","Critical"},0)&gt;=3,"Medium","Low"))))</f>
        <v/>
      </c>
    </row>
    <row r="492" customFormat="false" ht="15" hidden="false" customHeight="false" outlineLevel="0" collapsed="false">
      <c r="I492" s="11" t="str">
        <f aca="false">IF(OR(G492="",H492=""),"",IF(MATCH(G492,{"Low","Medium","High"},0)*MATCH(H492,{"Low","Medium","High","Critical"},0)&gt;=9,"Critical",IF(MATCH(G492,{"Low","Medium","High"},0)*MATCH(H492,{"Low","Medium","High","Critical"},0)&gt;=6,"High",IF(MATCH(G492,{"Low","Medium","High"},0)*MATCH(H492,{"Low","Medium","High","Critical"},0)&gt;=3,"Medium","Low"))))</f>
        <v/>
      </c>
    </row>
    <row r="493" customFormat="false" ht="15" hidden="false" customHeight="false" outlineLevel="0" collapsed="false">
      <c r="I493" s="11" t="str">
        <f aca="false">IF(OR(G493="",H493=""),"",IF(MATCH(G493,{"Low","Medium","High"},0)*MATCH(H493,{"Low","Medium","High","Critical"},0)&gt;=9,"Critical",IF(MATCH(G493,{"Low","Medium","High"},0)*MATCH(H493,{"Low","Medium","High","Critical"},0)&gt;=6,"High",IF(MATCH(G493,{"Low","Medium","High"},0)*MATCH(H493,{"Low","Medium","High","Critical"},0)&gt;=3,"Medium","Low"))))</f>
        <v/>
      </c>
    </row>
    <row r="494" customFormat="false" ht="15" hidden="false" customHeight="false" outlineLevel="0" collapsed="false">
      <c r="I494" s="11" t="str">
        <f aca="false">IF(OR(G494="",H494=""),"",IF(MATCH(G494,{"Low","Medium","High"},0)*MATCH(H494,{"Low","Medium","High","Critical"},0)&gt;=9,"Critical",IF(MATCH(G494,{"Low","Medium","High"},0)*MATCH(H494,{"Low","Medium","High","Critical"},0)&gt;=6,"High",IF(MATCH(G494,{"Low","Medium","High"},0)*MATCH(H494,{"Low","Medium","High","Critical"},0)&gt;=3,"Medium","Low"))))</f>
        <v/>
      </c>
    </row>
    <row r="495" customFormat="false" ht="15" hidden="false" customHeight="false" outlineLevel="0" collapsed="false">
      <c r="I495" s="11" t="str">
        <f aca="false">IF(OR(G495="",H495=""),"",IF(MATCH(G495,{"Low","Medium","High"},0)*MATCH(H495,{"Low","Medium","High","Critical"},0)&gt;=9,"Critical",IF(MATCH(G495,{"Low","Medium","High"},0)*MATCH(H495,{"Low","Medium","High","Critical"},0)&gt;=6,"High",IF(MATCH(G495,{"Low","Medium","High"},0)*MATCH(H495,{"Low","Medium","High","Critical"},0)&gt;=3,"Medium","Low"))))</f>
        <v/>
      </c>
    </row>
    <row r="496" customFormat="false" ht="15" hidden="false" customHeight="false" outlineLevel="0" collapsed="false">
      <c r="I496" s="11" t="str">
        <f aca="false">IF(OR(G496="",H496=""),"",IF(MATCH(G496,{"Low","Medium","High"},0)*MATCH(H496,{"Low","Medium","High","Critical"},0)&gt;=9,"Critical",IF(MATCH(G496,{"Low","Medium","High"},0)*MATCH(H496,{"Low","Medium","High","Critical"},0)&gt;=6,"High",IF(MATCH(G496,{"Low","Medium","High"},0)*MATCH(H496,{"Low","Medium","High","Critical"},0)&gt;=3,"Medium","Low"))))</f>
        <v/>
      </c>
    </row>
    <row r="497" customFormat="false" ht="15" hidden="false" customHeight="false" outlineLevel="0" collapsed="false">
      <c r="I497" s="11" t="str">
        <f aca="false">IF(OR(G497="",H497=""),"",IF(MATCH(G497,{"Low","Medium","High"},0)*MATCH(H497,{"Low","Medium","High","Critical"},0)&gt;=9,"Critical",IF(MATCH(G497,{"Low","Medium","High"},0)*MATCH(H497,{"Low","Medium","High","Critical"},0)&gt;=6,"High",IF(MATCH(G497,{"Low","Medium","High"},0)*MATCH(H497,{"Low","Medium","High","Critical"},0)&gt;=3,"Medium","Low"))))</f>
        <v/>
      </c>
    </row>
    <row r="498" customFormat="false" ht="15" hidden="false" customHeight="false" outlineLevel="0" collapsed="false">
      <c r="I498" s="11" t="str">
        <f aca="false">IF(OR(G498="",H498=""),"",IF(MATCH(G498,{"Low","Medium","High"},0)*MATCH(H498,{"Low","Medium","High","Critical"},0)&gt;=9,"Critical",IF(MATCH(G498,{"Low","Medium","High"},0)*MATCH(H498,{"Low","Medium","High","Critical"},0)&gt;=6,"High",IF(MATCH(G498,{"Low","Medium","High"},0)*MATCH(H498,{"Low","Medium","High","Critical"},0)&gt;=3,"Medium","Low"))))</f>
        <v/>
      </c>
    </row>
    <row r="499" customFormat="false" ht="15" hidden="false" customHeight="false" outlineLevel="0" collapsed="false">
      <c r="I499" s="11" t="str">
        <f aca="false">IF(OR(G499="",H499=""),"",IF(MATCH(G499,{"Low","Medium","High"},0)*MATCH(H499,{"Low","Medium","High","Critical"},0)&gt;=9,"Critical",IF(MATCH(G499,{"Low","Medium","High"},0)*MATCH(H499,{"Low","Medium","High","Critical"},0)&gt;=6,"High",IF(MATCH(G499,{"Low","Medium","High"},0)*MATCH(H499,{"Low","Medium","High","Critical"},0)&gt;=3,"Medium","Low"))))</f>
        <v/>
      </c>
    </row>
    <row r="500" customFormat="false" ht="15" hidden="false" customHeight="false" outlineLevel="0" collapsed="false">
      <c r="I500" s="11" t="str">
        <f aca="false">IF(OR(G500="",H500=""),"",IF(MATCH(G500,{"Low","Medium","High"},0)*MATCH(H500,{"Low","Medium","High","Critical"},0)&gt;=9,"Critical",IF(MATCH(G500,{"Low","Medium","High"},0)*MATCH(H500,{"Low","Medium","High","Critical"},0)&gt;=6,"High",IF(MATCH(G500,{"Low","Medium","High"},0)*MATCH(H500,{"Low","Medium","High","Critical"},0)&gt;=3,"Medium","Low"))))</f>
        <v/>
      </c>
    </row>
    <row r="501" customFormat="false" ht="15" hidden="false" customHeight="false" outlineLevel="0" collapsed="false">
      <c r="I501" s="11" t="str">
        <f aca="false">IF(OR(G501="",H501=""),"",IF(MATCH(G501,{"Low","Medium","High"},0)*MATCH(H501,{"Low","Medium","High","Critical"},0)&gt;=9,"Critical",IF(MATCH(G501,{"Low","Medium","High"},0)*MATCH(H501,{"Low","Medium","High","Critical"},0)&gt;=6,"High",IF(MATCH(G501,{"Low","Medium","High"},0)*MATCH(H501,{"Low","Medium","High","Critical"},0)&gt;=3,"Medium","Low"))))</f>
        <v/>
      </c>
    </row>
    <row r="502" customFormat="false" ht="15" hidden="false" customHeight="false" outlineLevel="0" collapsed="false">
      <c r="I502" s="11" t="str">
        <f aca="false">IF(OR(G502="",H502=""),"",IF(MATCH(G502,{"Low","Medium","High"},0)*MATCH(H502,{"Low","Medium","High","Critical"},0)&gt;=9,"Critical",IF(MATCH(G502,{"Low","Medium","High"},0)*MATCH(H502,{"Low","Medium","High","Critical"},0)&gt;=6,"High",IF(MATCH(G502,{"Low","Medium","High"},0)*MATCH(H502,{"Low","Medium","High","Critical"},0)&gt;=3,"Medium","Low"))))</f>
        <v/>
      </c>
    </row>
  </sheetData>
  <autoFilter ref="A2:R502"/>
  <conditionalFormatting sqref="H3:H502">
    <cfRule type="cellIs" priority="2" operator="equal" aboveAverage="0" equalAverage="0" bottom="0" percent="0" rank="0" text="" dxfId="12">
      <formula>"Critical"</formula>
    </cfRule>
    <cfRule type="cellIs" priority="3" operator="equal" aboveAverage="0" equalAverage="0" bottom="0" percent="0" rank="0" text="" dxfId="2">
      <formula>"High"</formula>
    </cfRule>
    <cfRule type="cellIs" priority="4" operator="equal" aboveAverage="0" equalAverage="0" bottom="0" percent="0" rank="0" text="" dxfId="1">
      <formula>"Medium"</formula>
    </cfRule>
    <cfRule type="cellIs" priority="5" operator="equal" aboveAverage="0" equalAverage="0" bottom="0" percent="0" rank="0" text="" dxfId="0">
      <formula>"Low"</formula>
    </cfRule>
  </conditionalFormatting>
  <conditionalFormatting sqref="I3:I502">
    <cfRule type="cellIs" priority="6" operator="equal" aboveAverage="0" equalAverage="0" bottom="0" percent="0" rank="0" text="" dxfId="12">
      <formula>"Critical"</formula>
    </cfRule>
    <cfRule type="cellIs" priority="7" operator="equal" aboveAverage="0" equalAverage="0" bottom="0" percent="0" rank="0" text="" dxfId="2">
      <formula>"High"</formula>
    </cfRule>
    <cfRule type="cellIs" priority="8" operator="equal" aboveAverage="0" equalAverage="0" bottom="0" percent="0" rank="0" text="" dxfId="1">
      <formula>"Medium"</formula>
    </cfRule>
    <cfRule type="cellIs" priority="9" operator="equal" aboveAverage="0" equalAverage="0" bottom="0" percent="0" rank="0" text="" dxfId="0">
      <formula>"Low"</formula>
    </cfRule>
  </conditionalFormatting>
  <dataValidations count="4">
    <dataValidation allowBlank="true" error="Use the dropdown. Edit lists on the Reference Lists sheet." errorStyle="stop" errorTitle="Pick from list" operator="between" showDropDown="false" showErrorMessage="true" showInputMessage="false" sqref="G3:G502" type="list">
      <formula1>'Reference Lists'!$J$2:$J$4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H3:H502" type="list">
      <formula1>'Reference Lists'!$K$2:$K$5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L3:L502" type="list">
      <formula1>'Reference Lists'!$L$2:$L$6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Q3:Q502" type="list">
      <formula1>'Reference Lists'!$H$2:$H$6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1"/>
    <col collapsed="false" customWidth="true" hidden="false" outlineLevel="0" max="2" min="2" style="2" width="42"/>
    <col collapsed="false" customWidth="true" hidden="false" outlineLevel="0" max="3" min="3" style="2" width="24"/>
    <col collapsed="false" customWidth="true" hidden="false" outlineLevel="0" max="4" min="4" style="2" width="30"/>
    <col collapsed="false" customWidth="true" hidden="false" outlineLevel="0" max="5" min="5" style="2" width="36"/>
    <col collapsed="false" customWidth="true" hidden="false" outlineLevel="0" max="7" min="6" style="2" width="18"/>
    <col collapsed="false" customWidth="true" hidden="false" outlineLevel="0" max="8" min="8" style="2" width="14"/>
    <col collapsed="false" customWidth="true" hidden="false" outlineLevel="0" max="9" min="9" style="2" width="11"/>
    <col collapsed="false" customWidth="true" hidden="false" outlineLevel="0" max="10" min="10" style="2" width="18"/>
    <col collapsed="false" customWidth="true" hidden="false" outlineLevel="0" max="11" min="11" style="2" width="34"/>
    <col collapsed="false" customWidth="true" hidden="false" outlineLevel="0" max="12" min="12" style="2" width="28"/>
    <col collapsed="false" customWidth="true" hidden="false" outlineLevel="0" max="14" min="13" style="20" width="13"/>
    <col collapsed="false" customWidth="true" hidden="false" outlineLevel="0" max="15" min="15" style="2" width="12"/>
  </cols>
  <sheetData>
    <row r="1" customFormat="false" ht="15" hidden="false" customHeight="false" outlineLevel="0" collapsed="false">
      <c r="A1" s="8" t="s">
        <v>709</v>
      </c>
    </row>
    <row r="2" customFormat="false" ht="42" hidden="false" customHeight="true" outlineLevel="0" collapsed="false">
      <c r="A2" s="13" t="s">
        <v>710</v>
      </c>
      <c r="B2" s="13" t="s">
        <v>711</v>
      </c>
      <c r="C2" s="13" t="s">
        <v>712</v>
      </c>
      <c r="D2" s="13" t="s">
        <v>713</v>
      </c>
      <c r="E2" s="13" t="s">
        <v>714</v>
      </c>
      <c r="F2" s="13" t="s">
        <v>233</v>
      </c>
      <c r="G2" s="13" t="s">
        <v>715</v>
      </c>
      <c r="H2" s="13" t="s">
        <v>633</v>
      </c>
      <c r="I2" s="13" t="s">
        <v>716</v>
      </c>
      <c r="J2" s="13" t="s">
        <v>224</v>
      </c>
      <c r="K2" s="13" t="s">
        <v>717</v>
      </c>
      <c r="L2" s="13" t="s">
        <v>165</v>
      </c>
      <c r="M2" s="13" t="s">
        <v>718</v>
      </c>
      <c r="N2" s="13" t="s">
        <v>719</v>
      </c>
      <c r="O2" s="13" t="s">
        <v>166</v>
      </c>
    </row>
    <row r="3" customFormat="false" ht="23.85" hidden="false" customHeight="false" outlineLevel="0" collapsed="false">
      <c r="A3" s="21" t="s">
        <v>720</v>
      </c>
      <c r="B3" s="21" t="s">
        <v>721</v>
      </c>
      <c r="C3" s="21"/>
      <c r="D3" s="21" t="s">
        <v>722</v>
      </c>
      <c r="E3" s="21" t="s">
        <v>723</v>
      </c>
      <c r="F3" s="21" t="s">
        <v>259</v>
      </c>
      <c r="G3" s="21"/>
      <c r="H3" s="21"/>
      <c r="I3" s="21" t="s">
        <v>247</v>
      </c>
      <c r="J3" s="21" t="s">
        <v>645</v>
      </c>
      <c r="K3" s="21"/>
      <c r="L3" s="21"/>
      <c r="M3" s="21"/>
      <c r="N3" s="21"/>
      <c r="O3" s="21" t="s">
        <v>171</v>
      </c>
    </row>
    <row r="4" customFormat="false" ht="23.85" hidden="false" customHeight="false" outlineLevel="0" collapsed="false">
      <c r="A4" s="21" t="s">
        <v>724</v>
      </c>
      <c r="B4" s="21" t="s">
        <v>725</v>
      </c>
      <c r="C4" s="21"/>
      <c r="D4" s="21" t="s">
        <v>726</v>
      </c>
      <c r="E4" s="21" t="s">
        <v>727</v>
      </c>
      <c r="F4" s="21" t="s">
        <v>266</v>
      </c>
      <c r="G4" s="21"/>
      <c r="H4" s="21"/>
      <c r="I4" s="21" t="s">
        <v>247</v>
      </c>
      <c r="J4" s="21" t="s">
        <v>645</v>
      </c>
      <c r="K4" s="21"/>
      <c r="L4" s="21"/>
      <c r="M4" s="21"/>
      <c r="N4" s="21"/>
      <c r="O4" s="21" t="s">
        <v>171</v>
      </c>
    </row>
    <row r="5" customFormat="false" ht="23.85" hidden="false" customHeight="false" outlineLevel="0" collapsed="false">
      <c r="A5" s="21" t="s">
        <v>728</v>
      </c>
      <c r="B5" s="21" t="s">
        <v>729</v>
      </c>
      <c r="C5" s="21"/>
      <c r="D5" s="21" t="s">
        <v>730</v>
      </c>
      <c r="E5" s="21" t="s">
        <v>731</v>
      </c>
      <c r="F5" s="21" t="s">
        <v>259</v>
      </c>
      <c r="G5" s="21"/>
      <c r="H5" s="21"/>
      <c r="I5" s="21" t="s">
        <v>247</v>
      </c>
      <c r="J5" s="21" t="s">
        <v>645</v>
      </c>
      <c r="K5" s="21"/>
      <c r="L5" s="21"/>
      <c r="M5" s="21"/>
      <c r="N5" s="21"/>
      <c r="O5" s="21" t="s">
        <v>171</v>
      </c>
    </row>
    <row r="6" customFormat="false" ht="23.85" hidden="false" customHeight="false" outlineLevel="0" collapsed="false">
      <c r="A6" s="21" t="s">
        <v>732</v>
      </c>
      <c r="B6" s="21" t="s">
        <v>733</v>
      </c>
      <c r="C6" s="21"/>
      <c r="D6" s="21" t="s">
        <v>734</v>
      </c>
      <c r="E6" s="21" t="s">
        <v>735</v>
      </c>
      <c r="F6" s="21" t="s">
        <v>266</v>
      </c>
      <c r="G6" s="21"/>
      <c r="H6" s="21"/>
      <c r="I6" s="21" t="s">
        <v>248</v>
      </c>
      <c r="J6" s="21" t="s">
        <v>645</v>
      </c>
      <c r="K6" s="21"/>
      <c r="L6" s="21"/>
      <c r="M6" s="21"/>
      <c r="N6" s="21"/>
      <c r="O6" s="21" t="s">
        <v>171</v>
      </c>
    </row>
    <row r="7" customFormat="false" ht="23.85" hidden="false" customHeight="false" outlineLevel="0" collapsed="false">
      <c r="A7" s="21" t="s">
        <v>736</v>
      </c>
      <c r="B7" s="21" t="s">
        <v>737</v>
      </c>
      <c r="C7" s="21"/>
      <c r="D7" s="21" t="s">
        <v>738</v>
      </c>
      <c r="E7" s="21" t="s">
        <v>739</v>
      </c>
      <c r="F7" s="21" t="s">
        <v>259</v>
      </c>
      <c r="G7" s="21"/>
      <c r="H7" s="21"/>
      <c r="I7" s="21" t="s">
        <v>248</v>
      </c>
      <c r="J7" s="21" t="s">
        <v>645</v>
      </c>
      <c r="K7" s="21"/>
      <c r="L7" s="21"/>
      <c r="M7" s="21"/>
      <c r="N7" s="21"/>
      <c r="O7" s="21" t="s">
        <v>171</v>
      </c>
    </row>
    <row r="8" customFormat="false" ht="35.05" hidden="false" customHeight="false" outlineLevel="0" collapsed="false">
      <c r="A8" s="21" t="s">
        <v>740</v>
      </c>
      <c r="B8" s="21" t="s">
        <v>741</v>
      </c>
      <c r="C8" s="21"/>
      <c r="D8" s="21" t="s">
        <v>742</v>
      </c>
      <c r="E8" s="21" t="s">
        <v>743</v>
      </c>
      <c r="F8" s="21" t="s">
        <v>266</v>
      </c>
      <c r="G8" s="21"/>
      <c r="H8" s="21"/>
      <c r="I8" s="21" t="s">
        <v>247</v>
      </c>
      <c r="J8" s="21" t="s">
        <v>645</v>
      </c>
      <c r="K8" s="21"/>
      <c r="L8" s="21"/>
      <c r="M8" s="21"/>
      <c r="N8" s="21"/>
      <c r="O8" s="21" t="s">
        <v>171</v>
      </c>
    </row>
    <row r="9" customFormat="false" ht="23.85" hidden="false" customHeight="false" outlineLevel="0" collapsed="false">
      <c r="A9" s="21" t="s">
        <v>744</v>
      </c>
      <c r="B9" s="21" t="s">
        <v>745</v>
      </c>
      <c r="C9" s="21"/>
      <c r="D9" s="21" t="s">
        <v>746</v>
      </c>
      <c r="E9" s="21" t="s">
        <v>747</v>
      </c>
      <c r="F9" s="21" t="s">
        <v>266</v>
      </c>
      <c r="G9" s="21"/>
      <c r="H9" s="21"/>
      <c r="I9" s="21" t="s">
        <v>248</v>
      </c>
      <c r="J9" s="21" t="s">
        <v>645</v>
      </c>
      <c r="K9" s="21"/>
      <c r="L9" s="21"/>
      <c r="M9" s="21"/>
      <c r="N9" s="21"/>
      <c r="O9" s="21" t="s">
        <v>171</v>
      </c>
    </row>
    <row r="10" customFormat="false" ht="23.85" hidden="false" customHeight="false" outlineLevel="0" collapsed="false">
      <c r="A10" s="21" t="s">
        <v>748</v>
      </c>
      <c r="B10" s="21" t="s">
        <v>749</v>
      </c>
      <c r="C10" s="21"/>
      <c r="D10" s="21" t="s">
        <v>750</v>
      </c>
      <c r="E10" s="21" t="s">
        <v>751</v>
      </c>
      <c r="F10" s="21" t="s">
        <v>259</v>
      </c>
      <c r="G10" s="21"/>
      <c r="H10" s="21"/>
      <c r="I10" s="21" t="s">
        <v>248</v>
      </c>
      <c r="J10" s="21" t="s">
        <v>645</v>
      </c>
      <c r="K10" s="21"/>
      <c r="L10" s="21"/>
      <c r="M10" s="21"/>
      <c r="N10" s="21"/>
      <c r="O10" s="21" t="s">
        <v>171</v>
      </c>
    </row>
    <row r="11" customFormat="false" ht="23.85" hidden="false" customHeight="false" outlineLevel="0" collapsed="false">
      <c r="A11" s="21" t="s">
        <v>752</v>
      </c>
      <c r="B11" s="21" t="s">
        <v>753</v>
      </c>
      <c r="C11" s="21"/>
      <c r="D11" s="21" t="s">
        <v>754</v>
      </c>
      <c r="E11" s="21" t="s">
        <v>755</v>
      </c>
      <c r="F11" s="21" t="s">
        <v>266</v>
      </c>
      <c r="G11" s="21"/>
      <c r="H11" s="21"/>
      <c r="I11" s="21" t="s">
        <v>248</v>
      </c>
      <c r="J11" s="21" t="s">
        <v>645</v>
      </c>
      <c r="K11" s="21"/>
      <c r="L11" s="21"/>
      <c r="M11" s="21"/>
      <c r="N11" s="21"/>
      <c r="O11" s="21" t="s">
        <v>171</v>
      </c>
    </row>
    <row r="12" customFormat="false" ht="23.85" hidden="false" customHeight="false" outlineLevel="0" collapsed="false">
      <c r="A12" s="21" t="s">
        <v>756</v>
      </c>
      <c r="B12" s="21" t="s">
        <v>757</v>
      </c>
      <c r="C12" s="21"/>
      <c r="D12" s="21" t="s">
        <v>758</v>
      </c>
      <c r="E12" s="21" t="s">
        <v>759</v>
      </c>
      <c r="F12" s="21" t="s">
        <v>251</v>
      </c>
      <c r="G12" s="21"/>
      <c r="H12" s="21"/>
      <c r="I12" s="21" t="s">
        <v>264</v>
      </c>
      <c r="J12" s="21" t="s">
        <v>645</v>
      </c>
      <c r="K12" s="21"/>
      <c r="L12" s="21"/>
      <c r="M12" s="21"/>
      <c r="N12" s="21"/>
      <c r="O12" s="21" t="s">
        <v>171</v>
      </c>
    </row>
    <row r="13" customFormat="false" ht="23.85" hidden="false" customHeight="false" outlineLevel="0" collapsed="false">
      <c r="A13" s="21" t="s">
        <v>760</v>
      </c>
      <c r="B13" s="21" t="s">
        <v>761</v>
      </c>
      <c r="C13" s="21"/>
      <c r="D13" s="21" t="s">
        <v>762</v>
      </c>
      <c r="E13" s="21" t="s">
        <v>763</v>
      </c>
      <c r="F13" s="21" t="s">
        <v>259</v>
      </c>
      <c r="G13" s="21"/>
      <c r="H13" s="21"/>
      <c r="I13" s="21" t="s">
        <v>247</v>
      </c>
      <c r="J13" s="21" t="s">
        <v>645</v>
      </c>
      <c r="K13" s="21"/>
      <c r="L13" s="21"/>
      <c r="M13" s="21"/>
      <c r="N13" s="21"/>
      <c r="O13" s="21" t="s">
        <v>171</v>
      </c>
    </row>
    <row r="14" customFormat="false" ht="23.85" hidden="false" customHeight="false" outlineLevel="0" collapsed="false">
      <c r="A14" s="21" t="s">
        <v>764</v>
      </c>
      <c r="B14" s="21" t="s">
        <v>765</v>
      </c>
      <c r="C14" s="21"/>
      <c r="D14" s="21" t="s">
        <v>766</v>
      </c>
      <c r="E14" s="21" t="s">
        <v>767</v>
      </c>
      <c r="F14" s="21" t="s">
        <v>259</v>
      </c>
      <c r="G14" s="21"/>
      <c r="H14" s="21"/>
      <c r="I14" s="21" t="s">
        <v>247</v>
      </c>
      <c r="J14" s="21" t="s">
        <v>645</v>
      </c>
      <c r="K14" s="21"/>
      <c r="L14" s="21"/>
      <c r="M14" s="21"/>
      <c r="N14" s="21"/>
      <c r="O14" s="21" t="s">
        <v>171</v>
      </c>
    </row>
    <row r="15" customFormat="false" ht="35.05" hidden="false" customHeight="false" outlineLevel="0" collapsed="false">
      <c r="A15" s="21" t="s">
        <v>351</v>
      </c>
      <c r="B15" s="21" t="s">
        <v>768</v>
      </c>
      <c r="C15" s="21" t="s">
        <v>474</v>
      </c>
      <c r="D15" s="21" t="s">
        <v>769</v>
      </c>
      <c r="E15" s="21" t="s">
        <v>770</v>
      </c>
      <c r="F15" s="21" t="s">
        <v>266</v>
      </c>
      <c r="G15" s="21"/>
      <c r="H15" s="21"/>
      <c r="I15" s="21" t="s">
        <v>264</v>
      </c>
      <c r="J15" s="21" t="s">
        <v>645</v>
      </c>
      <c r="K15" s="21" t="s">
        <v>771</v>
      </c>
      <c r="L15" s="21" t="s">
        <v>252</v>
      </c>
      <c r="M15" s="21"/>
      <c r="N15" s="21"/>
      <c r="O15" s="21" t="s">
        <v>171</v>
      </c>
    </row>
  </sheetData>
  <autoFilter ref="A2:O502"/>
  <conditionalFormatting sqref="I3:I502">
    <cfRule type="cellIs" priority="2" operator="equal" aboveAverage="0" equalAverage="0" bottom="0" percent="0" rank="0" text="" dxfId="12">
      <formula>"Critical"</formula>
    </cfRule>
    <cfRule type="cellIs" priority="3" operator="equal" aboveAverage="0" equalAverage="0" bottom="0" percent="0" rank="0" text="" dxfId="2">
      <formula>"High"</formula>
    </cfRule>
    <cfRule type="cellIs" priority="4" operator="equal" aboveAverage="0" equalAverage="0" bottom="0" percent="0" rank="0" text="" dxfId="1">
      <formula>"Medium"</formula>
    </cfRule>
    <cfRule type="cellIs" priority="5" operator="equal" aboveAverage="0" equalAverage="0" bottom="0" percent="0" rank="0" text="" dxfId="0">
      <formula>"Low"</formula>
    </cfRule>
  </conditionalFormatting>
  <conditionalFormatting sqref="O3:O502">
    <cfRule type="cellIs" priority="6" operator="equal" aboveAverage="0" equalAverage="0" bottom="0" percent="0" rank="0" text="" dxfId="0">
      <formula>"High"</formula>
    </cfRule>
    <cfRule type="cellIs" priority="7" operator="equal" aboveAverage="0" equalAverage="0" bottom="0" percent="0" rank="0" text="" dxfId="1">
      <formula>"Medium"</formula>
    </cfRule>
    <cfRule type="cellIs" priority="8" operator="equal" aboveAverage="0" equalAverage="0" bottom="0" percent="0" rank="0" text="" dxfId="2">
      <formula>"Low"</formula>
    </cfRule>
    <cfRule type="cellIs" priority="9" operator="equal" aboveAverage="0" equalAverage="0" bottom="0" percent="0" rank="0" text="" dxfId="3">
      <formula>"Unknown"</formula>
    </cfRule>
  </conditionalFormatting>
  <dataValidations count="4">
    <dataValidation allowBlank="true" error="Use the dropdown. Edit lists on the Reference Lists sheet." errorStyle="stop" errorTitle="Pick from list" operator="between" showDropDown="false" showErrorMessage="true" showInputMessage="false" sqref="F3:F502" type="list">
      <formula1>'Reference Lists'!$H$2:$H$6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I3:I502" type="list">
      <formula1>'Reference Lists'!$I$2:$I$5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J3:J502" type="list">
      <formula1>'Reference Lists'!$M$2:$M$7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O3:O502" type="list">
      <formula1>'Reference Lists'!$G$2:$G$5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Q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1"/>
    <col collapsed="false" customWidth="true" hidden="false" outlineLevel="0" max="2" min="2" style="20" width="12"/>
    <col collapsed="false" customWidth="true" hidden="false" outlineLevel="0" max="3" min="3" style="2" width="22"/>
    <col collapsed="false" customWidth="true" hidden="false" outlineLevel="0" max="5" min="4" style="2" width="30"/>
    <col collapsed="false" customWidth="true" hidden="false" outlineLevel="0" max="6" min="6" style="2" width="32"/>
    <col collapsed="false" customWidth="true" hidden="false" outlineLevel="0" max="8" min="7" style="2" width="30"/>
    <col collapsed="false" customWidth="true" hidden="false" outlineLevel="0" max="9" min="9" style="2" width="24"/>
    <col collapsed="false" customWidth="true" hidden="false" outlineLevel="0" max="10" min="10" style="2" width="26"/>
    <col collapsed="false" customWidth="true" hidden="false" outlineLevel="0" max="12" min="11" style="2" width="24"/>
    <col collapsed="false" customWidth="true" hidden="false" outlineLevel="0" max="13" min="13" style="2" width="16"/>
    <col collapsed="false" customWidth="true" hidden="false" outlineLevel="0" max="14" min="14" style="20" width="13"/>
    <col collapsed="false" customWidth="true" hidden="false" outlineLevel="0" max="15" min="15" style="2" width="13"/>
    <col collapsed="false" customWidth="true" hidden="false" outlineLevel="0" max="16" min="16" style="2" width="12"/>
    <col collapsed="false" customWidth="true" hidden="false" outlineLevel="0" max="17" min="17" style="2" width="26"/>
  </cols>
  <sheetData>
    <row r="1" customFormat="false" ht="15" hidden="false" customHeight="false" outlineLevel="0" collapsed="false">
      <c r="A1" s="8" t="s">
        <v>772</v>
      </c>
    </row>
    <row r="2" customFormat="false" ht="39.75" hidden="false" customHeight="true" outlineLevel="0" collapsed="false">
      <c r="A2" s="13" t="s">
        <v>773</v>
      </c>
      <c r="B2" s="13" t="s">
        <v>774</v>
      </c>
      <c r="C2" s="13" t="s">
        <v>775</v>
      </c>
      <c r="D2" s="13" t="s">
        <v>776</v>
      </c>
      <c r="E2" s="13" t="s">
        <v>777</v>
      </c>
      <c r="F2" s="13" t="s">
        <v>778</v>
      </c>
      <c r="G2" s="13" t="s">
        <v>779</v>
      </c>
      <c r="H2" s="13" t="s">
        <v>780</v>
      </c>
      <c r="I2" s="13" t="s">
        <v>781</v>
      </c>
      <c r="J2" s="13" t="s">
        <v>782</v>
      </c>
      <c r="K2" s="13" t="s">
        <v>783</v>
      </c>
      <c r="L2" s="13" t="s">
        <v>784</v>
      </c>
      <c r="M2" s="13" t="s">
        <v>785</v>
      </c>
      <c r="N2" s="13" t="s">
        <v>786</v>
      </c>
      <c r="O2" s="13" t="s">
        <v>224</v>
      </c>
      <c r="P2" s="13" t="s">
        <v>166</v>
      </c>
      <c r="Q2" s="13" t="s">
        <v>165</v>
      </c>
    </row>
    <row r="3" customFormat="false" ht="46.25" hidden="false" customHeight="false" outlineLevel="0" collapsed="false">
      <c r="A3" s="21" t="s">
        <v>787</v>
      </c>
      <c r="B3" s="21"/>
      <c r="C3" s="21" t="s">
        <v>788</v>
      </c>
      <c r="D3" s="21" t="s">
        <v>789</v>
      </c>
      <c r="E3" s="21" t="s">
        <v>790</v>
      </c>
      <c r="F3" s="21" t="s">
        <v>791</v>
      </c>
      <c r="G3" s="21" t="s">
        <v>792</v>
      </c>
      <c r="H3" s="21" t="s">
        <v>793</v>
      </c>
      <c r="I3" s="21" t="s">
        <v>794</v>
      </c>
      <c r="J3" s="21" t="s">
        <v>795</v>
      </c>
      <c r="K3" s="21" t="s">
        <v>796</v>
      </c>
      <c r="L3" s="21" t="s">
        <v>797</v>
      </c>
      <c r="M3" s="21" t="s">
        <v>798</v>
      </c>
      <c r="N3" s="21"/>
      <c r="O3" s="21" t="s">
        <v>799</v>
      </c>
      <c r="P3" s="21" t="s">
        <v>248</v>
      </c>
      <c r="Q3" s="21" t="s">
        <v>252</v>
      </c>
    </row>
  </sheetData>
  <autoFilter ref="A2:Q502"/>
  <conditionalFormatting sqref="P3:P502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  <cfRule type="cellIs" priority="5" operator="equal" aboveAverage="0" equalAverage="0" bottom="0" percent="0" rank="0" text="" dxfId="3">
      <formula>"Unknown"</formula>
    </cfRule>
  </conditionalFormatting>
  <dataValidations count="3">
    <dataValidation allowBlank="true" error="Use the dropdown. Edit lists on the Reference Lists sheet." errorStyle="stop" errorTitle="Pick from list" operator="between" showDropDown="false" showErrorMessage="true" showInputMessage="false" sqref="C3:C502" type="list">
      <formula1>'Reference Lists'!$U$2:$U$4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O3:O502" type="list">
      <formula1>'Reference Lists'!$T$2:$T$6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P3:P502" type="list">
      <formula1>'Reference Lists'!$G$2:$G$5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1"/>
    <col collapsed="false" customWidth="true" hidden="false" outlineLevel="0" max="2" min="2" style="20" width="12"/>
    <col collapsed="false" customWidth="true" hidden="false" outlineLevel="0" max="3" min="3" style="2" width="32"/>
    <col collapsed="false" customWidth="true" hidden="false" outlineLevel="0" max="4" min="4" style="2" width="26"/>
    <col collapsed="false" customWidth="true" hidden="false" outlineLevel="0" max="6" min="5" style="2" width="16"/>
    <col collapsed="false" customWidth="true" hidden="false" outlineLevel="0" max="7" min="7" style="2" width="28"/>
    <col collapsed="false" customWidth="true" hidden="false" outlineLevel="0" max="8" min="8" style="2" width="26"/>
    <col collapsed="false" customWidth="true" hidden="false" outlineLevel="0" max="9" min="9" style="2" width="18"/>
    <col collapsed="false" customWidth="true" hidden="false" outlineLevel="0" max="10" min="10" style="20" width="13"/>
    <col collapsed="false" customWidth="true" hidden="false" outlineLevel="0" max="11" min="11" style="2" width="11"/>
    <col collapsed="false" customWidth="true" hidden="false" outlineLevel="0" max="13" min="12" style="2" width="24"/>
    <col collapsed="false" customWidth="true" hidden="false" outlineLevel="0" max="14" min="14" style="2" width="20"/>
    <col collapsed="false" customWidth="true" hidden="false" outlineLevel="0" max="15" min="15" style="2" width="26"/>
  </cols>
  <sheetData>
    <row r="1" customFormat="false" ht="15" hidden="false" customHeight="false" outlineLevel="0" collapsed="false">
      <c r="A1" s="8" t="s">
        <v>800</v>
      </c>
    </row>
    <row r="2" customFormat="false" ht="39.75" hidden="false" customHeight="true" outlineLevel="0" collapsed="false">
      <c r="A2" s="13" t="s">
        <v>801</v>
      </c>
      <c r="B2" s="13" t="s">
        <v>774</v>
      </c>
      <c r="C2" s="13" t="s">
        <v>802</v>
      </c>
      <c r="D2" s="13" t="s">
        <v>803</v>
      </c>
      <c r="E2" s="13" t="s">
        <v>804</v>
      </c>
      <c r="F2" s="13" t="s">
        <v>805</v>
      </c>
      <c r="G2" s="13" t="s">
        <v>782</v>
      </c>
      <c r="H2" s="13" t="s">
        <v>806</v>
      </c>
      <c r="I2" s="13" t="s">
        <v>807</v>
      </c>
      <c r="J2" s="13" t="s">
        <v>808</v>
      </c>
      <c r="K2" s="13" t="s">
        <v>809</v>
      </c>
      <c r="L2" s="13" t="s">
        <v>784</v>
      </c>
      <c r="M2" s="13" t="s">
        <v>810</v>
      </c>
      <c r="N2" s="13" t="s">
        <v>811</v>
      </c>
      <c r="O2" s="13" t="s">
        <v>236</v>
      </c>
    </row>
    <row r="3" customFormat="false" ht="46.25" hidden="false" customHeight="false" outlineLevel="0" collapsed="false">
      <c r="A3" s="21" t="s">
        <v>812</v>
      </c>
      <c r="B3" s="21"/>
      <c r="C3" s="21" t="s">
        <v>813</v>
      </c>
      <c r="D3" s="21" t="s">
        <v>814</v>
      </c>
      <c r="E3" s="21" t="s">
        <v>815</v>
      </c>
      <c r="F3" s="21" t="s">
        <v>815</v>
      </c>
      <c r="G3" s="21" t="s">
        <v>257</v>
      </c>
      <c r="H3" s="21" t="s">
        <v>816</v>
      </c>
      <c r="I3" s="21" t="s">
        <v>798</v>
      </c>
      <c r="J3" s="21"/>
      <c r="K3" s="21" t="s">
        <v>817</v>
      </c>
      <c r="L3" s="21" t="s">
        <v>818</v>
      </c>
      <c r="M3" s="21"/>
      <c r="N3" s="21"/>
      <c r="O3" s="21" t="s">
        <v>252</v>
      </c>
    </row>
  </sheetData>
  <autoFilter ref="A2:O502"/>
  <dataValidations count="1">
    <dataValidation allowBlank="true" error="Use the dropdown. Edit lists on the Reference Lists sheet." errorStyle="stop" errorTitle="Pick from list" operator="between" showDropDown="false" showErrorMessage="true" showInputMessage="false" sqref="K3:K502" type="list">
      <formula1>'Reference Lists'!$V$2:$V$6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6"/>
    <col collapsed="false" customWidth="true" hidden="false" outlineLevel="0" max="2" min="2" style="2" width="26"/>
    <col collapsed="false" customWidth="true" hidden="false" outlineLevel="0" max="3" min="3" style="2" width="28"/>
    <col collapsed="false" customWidth="true" hidden="false" outlineLevel="0" max="4" min="4" style="2" width="70"/>
    <col collapsed="false" customWidth="true" hidden="false" outlineLevel="0" max="5" min="5" style="2" width="38"/>
    <col collapsed="false" customWidth="true" hidden="false" outlineLevel="0" max="6" min="6" style="2" width="20"/>
    <col collapsed="false" customWidth="true" hidden="false" outlineLevel="0" max="7" min="7" style="2" width="18"/>
    <col collapsed="false" customWidth="true" hidden="false" outlineLevel="0" max="8" min="8" style="2" width="13"/>
    <col collapsed="false" customWidth="true" hidden="false" outlineLevel="0" max="9" min="9" style="20" width="12"/>
    <col collapsed="false" customWidth="true" hidden="false" outlineLevel="0" max="10" min="10" style="2" width="30"/>
  </cols>
  <sheetData>
    <row r="1" customFormat="false" ht="15" hidden="false" customHeight="false" outlineLevel="0" collapsed="false">
      <c r="A1" s="8" t="s">
        <v>819</v>
      </c>
    </row>
    <row r="2" customFormat="false" ht="36" hidden="false" customHeight="true" outlineLevel="0" collapsed="false">
      <c r="A2" s="13" t="s">
        <v>820</v>
      </c>
      <c r="B2" s="13" t="s">
        <v>821</v>
      </c>
      <c r="C2" s="13" t="s">
        <v>822</v>
      </c>
      <c r="D2" s="13" t="s">
        <v>823</v>
      </c>
      <c r="E2" s="13" t="s">
        <v>824</v>
      </c>
      <c r="F2" s="13" t="s">
        <v>825</v>
      </c>
      <c r="G2" s="13" t="s">
        <v>826</v>
      </c>
      <c r="H2" s="13" t="s">
        <v>224</v>
      </c>
      <c r="I2" s="13" t="s">
        <v>827</v>
      </c>
      <c r="J2" s="13" t="s">
        <v>236</v>
      </c>
      <c r="L2" s="11" t="s">
        <v>828</v>
      </c>
      <c r="M2" s="11" t="str">
        <f aca="false">COUNTIF(H3:H32,"Done")&amp;" / 30"</f>
        <v>0 / 30</v>
      </c>
    </row>
    <row r="3" customFormat="false" ht="35.05" hidden="false" customHeight="false" outlineLevel="0" collapsed="false">
      <c r="A3" s="2" t="n">
        <v>1</v>
      </c>
      <c r="B3" s="2" t="s">
        <v>829</v>
      </c>
      <c r="C3" s="2" t="s">
        <v>830</v>
      </c>
      <c r="D3" s="2" t="s">
        <v>831</v>
      </c>
      <c r="E3" s="2" t="s">
        <v>832</v>
      </c>
      <c r="F3" s="2" t="s">
        <v>42</v>
      </c>
      <c r="G3" s="2" t="s">
        <v>259</v>
      </c>
      <c r="H3" s="2" t="s">
        <v>833</v>
      </c>
      <c r="I3" s="2"/>
    </row>
    <row r="4" customFormat="false" ht="35.05" hidden="false" customHeight="false" outlineLevel="0" collapsed="false">
      <c r="A4" s="2" t="n">
        <v>2</v>
      </c>
      <c r="B4" s="2" t="s">
        <v>829</v>
      </c>
      <c r="C4" s="2" t="s">
        <v>834</v>
      </c>
      <c r="D4" s="2" t="s">
        <v>835</v>
      </c>
      <c r="E4" s="2" t="s">
        <v>836</v>
      </c>
      <c r="F4" s="2" t="s">
        <v>837</v>
      </c>
      <c r="G4" s="2" t="s">
        <v>259</v>
      </c>
      <c r="H4" s="2" t="s">
        <v>833</v>
      </c>
      <c r="I4" s="2"/>
    </row>
    <row r="5" customFormat="false" ht="46.25" hidden="false" customHeight="false" outlineLevel="0" collapsed="false">
      <c r="A5" s="2" t="n">
        <v>3</v>
      </c>
      <c r="B5" s="2" t="s">
        <v>829</v>
      </c>
      <c r="C5" s="2" t="s">
        <v>838</v>
      </c>
      <c r="D5" s="2" t="s">
        <v>839</v>
      </c>
      <c r="E5" s="2" t="s">
        <v>840</v>
      </c>
      <c r="F5" s="2" t="s">
        <v>56</v>
      </c>
      <c r="G5" s="2" t="s">
        <v>259</v>
      </c>
      <c r="H5" s="2" t="s">
        <v>833</v>
      </c>
      <c r="I5" s="2"/>
    </row>
    <row r="6" customFormat="false" ht="23.85" hidden="false" customHeight="false" outlineLevel="0" collapsed="false">
      <c r="A6" s="2" t="n">
        <v>4</v>
      </c>
      <c r="B6" s="2" t="s">
        <v>841</v>
      </c>
      <c r="C6" s="2" t="s">
        <v>842</v>
      </c>
      <c r="D6" s="2" t="s">
        <v>843</v>
      </c>
      <c r="E6" s="2" t="s">
        <v>844</v>
      </c>
      <c r="F6" s="2" t="s">
        <v>107</v>
      </c>
      <c r="G6" s="2" t="s">
        <v>259</v>
      </c>
      <c r="H6" s="2" t="s">
        <v>833</v>
      </c>
      <c r="I6" s="2"/>
    </row>
    <row r="7" customFormat="false" ht="23.85" hidden="false" customHeight="false" outlineLevel="0" collapsed="false">
      <c r="A7" s="2" t="n">
        <v>5</v>
      </c>
      <c r="B7" s="2" t="s">
        <v>841</v>
      </c>
      <c r="C7" s="2" t="s">
        <v>845</v>
      </c>
      <c r="D7" s="2" t="s">
        <v>846</v>
      </c>
      <c r="E7" s="2" t="s">
        <v>847</v>
      </c>
      <c r="F7" s="2" t="s">
        <v>210</v>
      </c>
      <c r="G7" s="2" t="s">
        <v>259</v>
      </c>
      <c r="H7" s="2" t="s">
        <v>833</v>
      </c>
      <c r="I7" s="2"/>
    </row>
    <row r="8" customFormat="false" ht="23.85" hidden="false" customHeight="false" outlineLevel="0" collapsed="false">
      <c r="A8" s="2" t="n">
        <v>6</v>
      </c>
      <c r="B8" s="2" t="s">
        <v>841</v>
      </c>
      <c r="C8" s="2" t="s">
        <v>848</v>
      </c>
      <c r="D8" s="2" t="s">
        <v>849</v>
      </c>
      <c r="E8" s="2" t="s">
        <v>850</v>
      </c>
      <c r="F8" s="2" t="s">
        <v>101</v>
      </c>
      <c r="G8" s="2" t="s">
        <v>259</v>
      </c>
      <c r="H8" s="2" t="s">
        <v>833</v>
      </c>
      <c r="I8" s="2"/>
    </row>
    <row r="9" customFormat="false" ht="35.05" hidden="false" customHeight="false" outlineLevel="0" collapsed="false">
      <c r="A9" s="2" t="n">
        <v>7</v>
      </c>
      <c r="B9" s="2" t="s">
        <v>841</v>
      </c>
      <c r="C9" s="2" t="s">
        <v>851</v>
      </c>
      <c r="D9" s="2" t="s">
        <v>852</v>
      </c>
      <c r="E9" s="2" t="s">
        <v>853</v>
      </c>
      <c r="F9" s="2" t="s">
        <v>40</v>
      </c>
      <c r="G9" s="2" t="s">
        <v>251</v>
      </c>
      <c r="H9" s="2" t="s">
        <v>833</v>
      </c>
      <c r="I9" s="2"/>
    </row>
    <row r="10" customFormat="false" ht="23.85" hidden="false" customHeight="false" outlineLevel="0" collapsed="false">
      <c r="A10" s="2" t="n">
        <v>8</v>
      </c>
      <c r="B10" s="2" t="s">
        <v>854</v>
      </c>
      <c r="C10" s="2" t="s">
        <v>855</v>
      </c>
      <c r="D10" s="2" t="s">
        <v>856</v>
      </c>
      <c r="E10" s="2" t="s">
        <v>857</v>
      </c>
      <c r="F10" s="2" t="s">
        <v>56</v>
      </c>
      <c r="G10" s="2" t="s">
        <v>259</v>
      </c>
      <c r="H10" s="2" t="s">
        <v>833</v>
      </c>
      <c r="I10" s="2"/>
    </row>
    <row r="11" customFormat="false" ht="23.85" hidden="false" customHeight="false" outlineLevel="0" collapsed="false">
      <c r="A11" s="2" t="n">
        <v>9</v>
      </c>
      <c r="B11" s="2" t="s">
        <v>854</v>
      </c>
      <c r="C11" s="2" t="s">
        <v>858</v>
      </c>
      <c r="D11" s="2" t="s">
        <v>859</v>
      </c>
      <c r="E11" s="2" t="s">
        <v>860</v>
      </c>
      <c r="F11" s="2" t="s">
        <v>390</v>
      </c>
      <c r="G11" s="2" t="s">
        <v>259</v>
      </c>
      <c r="H11" s="2" t="s">
        <v>833</v>
      </c>
      <c r="I11" s="2"/>
    </row>
    <row r="12" customFormat="false" ht="23.85" hidden="false" customHeight="false" outlineLevel="0" collapsed="false">
      <c r="A12" s="2" t="n">
        <v>10</v>
      </c>
      <c r="B12" s="2" t="s">
        <v>854</v>
      </c>
      <c r="C12" s="2" t="s">
        <v>861</v>
      </c>
      <c r="D12" s="2" t="s">
        <v>862</v>
      </c>
      <c r="E12" s="2" t="s">
        <v>863</v>
      </c>
      <c r="F12" s="2" t="s">
        <v>229</v>
      </c>
      <c r="G12" s="2" t="s">
        <v>251</v>
      </c>
      <c r="H12" s="2" t="s">
        <v>833</v>
      </c>
      <c r="I12" s="2"/>
    </row>
    <row r="13" customFormat="false" ht="23.85" hidden="false" customHeight="false" outlineLevel="0" collapsed="false">
      <c r="A13" s="2" t="n">
        <v>11</v>
      </c>
      <c r="B13" s="2" t="s">
        <v>854</v>
      </c>
      <c r="C13" s="2" t="s">
        <v>864</v>
      </c>
      <c r="D13" s="2" t="s">
        <v>865</v>
      </c>
      <c r="E13" s="2" t="s">
        <v>866</v>
      </c>
      <c r="F13" s="2" t="s">
        <v>56</v>
      </c>
      <c r="G13" s="2" t="s">
        <v>251</v>
      </c>
      <c r="H13" s="2" t="s">
        <v>833</v>
      </c>
      <c r="I13" s="2"/>
    </row>
    <row r="14" customFormat="false" ht="15" hidden="false" customHeight="false" outlineLevel="0" collapsed="false">
      <c r="A14" s="2" t="n">
        <v>12</v>
      </c>
      <c r="B14" s="2" t="s">
        <v>854</v>
      </c>
      <c r="C14" s="2" t="s">
        <v>867</v>
      </c>
      <c r="D14" s="2" t="s">
        <v>868</v>
      </c>
      <c r="E14" s="2" t="s">
        <v>869</v>
      </c>
      <c r="F14" s="2" t="s">
        <v>56</v>
      </c>
      <c r="G14" s="2" t="s">
        <v>251</v>
      </c>
      <c r="H14" s="2" t="s">
        <v>833</v>
      </c>
      <c r="I14" s="2"/>
    </row>
    <row r="15" customFormat="false" ht="23.85" hidden="false" customHeight="false" outlineLevel="0" collapsed="false">
      <c r="A15" s="2" t="n">
        <v>13</v>
      </c>
      <c r="B15" s="2" t="s">
        <v>854</v>
      </c>
      <c r="C15" s="2" t="s">
        <v>870</v>
      </c>
      <c r="D15" s="2" t="s">
        <v>871</v>
      </c>
      <c r="E15" s="2" t="s">
        <v>872</v>
      </c>
      <c r="F15" s="2" t="s">
        <v>229</v>
      </c>
      <c r="G15" s="2" t="s">
        <v>251</v>
      </c>
      <c r="H15" s="2" t="s">
        <v>833</v>
      </c>
      <c r="I15" s="2"/>
    </row>
    <row r="16" customFormat="false" ht="23.85" hidden="false" customHeight="false" outlineLevel="0" collapsed="false">
      <c r="A16" s="2" t="n">
        <v>14</v>
      </c>
      <c r="B16" s="2" t="s">
        <v>854</v>
      </c>
      <c r="C16" s="2" t="s">
        <v>873</v>
      </c>
      <c r="D16" s="2" t="s">
        <v>874</v>
      </c>
      <c r="E16" s="2" t="s">
        <v>875</v>
      </c>
      <c r="F16" s="2" t="s">
        <v>783</v>
      </c>
      <c r="G16" s="2" t="s">
        <v>259</v>
      </c>
      <c r="H16" s="2" t="s">
        <v>833</v>
      </c>
      <c r="I16" s="2"/>
    </row>
    <row r="17" customFormat="false" ht="23.85" hidden="false" customHeight="false" outlineLevel="0" collapsed="false">
      <c r="A17" s="2" t="n">
        <v>15</v>
      </c>
      <c r="B17" s="2" t="s">
        <v>876</v>
      </c>
      <c r="C17" s="2" t="s">
        <v>212</v>
      </c>
      <c r="D17" s="2" t="s">
        <v>877</v>
      </c>
      <c r="E17" s="2" t="s">
        <v>878</v>
      </c>
      <c r="F17" s="2" t="s">
        <v>212</v>
      </c>
      <c r="G17" s="2" t="s">
        <v>266</v>
      </c>
      <c r="H17" s="2" t="s">
        <v>833</v>
      </c>
      <c r="I17" s="2"/>
    </row>
    <row r="18" customFormat="false" ht="23.85" hidden="false" customHeight="false" outlineLevel="0" collapsed="false">
      <c r="A18" s="2" t="n">
        <v>16</v>
      </c>
      <c r="B18" s="2" t="s">
        <v>876</v>
      </c>
      <c r="C18" s="2" t="s">
        <v>879</v>
      </c>
      <c r="D18" s="2" t="s">
        <v>880</v>
      </c>
      <c r="E18" s="2" t="s">
        <v>881</v>
      </c>
      <c r="F18" s="2" t="s">
        <v>213</v>
      </c>
      <c r="G18" s="2" t="s">
        <v>266</v>
      </c>
      <c r="H18" s="2" t="s">
        <v>833</v>
      </c>
      <c r="I18" s="2"/>
    </row>
    <row r="19" customFormat="false" ht="23.85" hidden="false" customHeight="false" outlineLevel="0" collapsed="false">
      <c r="A19" s="2" t="n">
        <v>17</v>
      </c>
      <c r="B19" s="2" t="s">
        <v>876</v>
      </c>
      <c r="C19" s="2" t="s">
        <v>882</v>
      </c>
      <c r="D19" s="2" t="s">
        <v>883</v>
      </c>
      <c r="E19" s="2" t="s">
        <v>881</v>
      </c>
      <c r="F19" s="2" t="s">
        <v>213</v>
      </c>
      <c r="G19" s="2" t="s">
        <v>266</v>
      </c>
      <c r="H19" s="2" t="s">
        <v>833</v>
      </c>
      <c r="I19" s="2"/>
    </row>
    <row r="20" customFormat="false" ht="23.85" hidden="false" customHeight="false" outlineLevel="0" collapsed="false">
      <c r="A20" s="2" t="n">
        <v>18</v>
      </c>
      <c r="B20" s="2" t="s">
        <v>876</v>
      </c>
      <c r="C20" s="2" t="s">
        <v>884</v>
      </c>
      <c r="D20" s="2" t="s">
        <v>885</v>
      </c>
      <c r="E20" s="2" t="s">
        <v>886</v>
      </c>
      <c r="F20" s="2" t="s">
        <v>54</v>
      </c>
      <c r="G20" s="2" t="s">
        <v>887</v>
      </c>
      <c r="H20" s="2" t="s">
        <v>833</v>
      </c>
      <c r="I20" s="2"/>
    </row>
    <row r="21" customFormat="false" ht="23.85" hidden="false" customHeight="false" outlineLevel="0" collapsed="false">
      <c r="A21" s="2" t="n">
        <v>19</v>
      </c>
      <c r="B21" s="2" t="s">
        <v>876</v>
      </c>
      <c r="C21" s="2" t="s">
        <v>888</v>
      </c>
      <c r="D21" s="2" t="s">
        <v>889</v>
      </c>
      <c r="E21" s="2" t="s">
        <v>890</v>
      </c>
      <c r="F21" s="2" t="s">
        <v>52</v>
      </c>
      <c r="G21" s="2" t="s">
        <v>266</v>
      </c>
      <c r="H21" s="2" t="s">
        <v>833</v>
      </c>
      <c r="I21" s="2"/>
    </row>
    <row r="22" customFormat="false" ht="23.85" hidden="false" customHeight="false" outlineLevel="0" collapsed="false">
      <c r="A22" s="2" t="n">
        <v>20</v>
      </c>
      <c r="B22" s="2" t="s">
        <v>876</v>
      </c>
      <c r="C22" s="2" t="s">
        <v>891</v>
      </c>
      <c r="D22" s="2" t="s">
        <v>892</v>
      </c>
      <c r="E22" s="2" t="s">
        <v>893</v>
      </c>
      <c r="F22" s="2" t="s">
        <v>44</v>
      </c>
      <c r="G22" s="2" t="s">
        <v>266</v>
      </c>
      <c r="H22" s="2" t="s">
        <v>833</v>
      </c>
      <c r="I22" s="2"/>
    </row>
    <row r="23" customFormat="false" ht="23.85" hidden="false" customHeight="false" outlineLevel="0" collapsed="false">
      <c r="A23" s="2" t="n">
        <v>21</v>
      </c>
      <c r="B23" s="2" t="s">
        <v>876</v>
      </c>
      <c r="C23" s="2" t="s">
        <v>894</v>
      </c>
      <c r="D23" s="2" t="s">
        <v>895</v>
      </c>
      <c r="E23" s="2" t="s">
        <v>896</v>
      </c>
      <c r="F23" s="2" t="s">
        <v>783</v>
      </c>
      <c r="G23" s="2" t="s">
        <v>266</v>
      </c>
      <c r="H23" s="2" t="s">
        <v>833</v>
      </c>
      <c r="I23" s="2"/>
    </row>
    <row r="24" customFormat="false" ht="23.85" hidden="false" customHeight="false" outlineLevel="0" collapsed="false">
      <c r="A24" s="2" t="n">
        <v>22</v>
      </c>
      <c r="B24" s="2" t="s">
        <v>897</v>
      </c>
      <c r="C24" s="2" t="s">
        <v>898</v>
      </c>
      <c r="D24" s="2" t="s">
        <v>899</v>
      </c>
      <c r="E24" s="2" t="s">
        <v>900</v>
      </c>
      <c r="F24" s="2" t="s">
        <v>901</v>
      </c>
      <c r="G24" s="2" t="s">
        <v>259</v>
      </c>
      <c r="H24" s="2" t="s">
        <v>833</v>
      </c>
      <c r="I24" s="2"/>
    </row>
    <row r="25" customFormat="false" ht="23.85" hidden="false" customHeight="false" outlineLevel="0" collapsed="false">
      <c r="A25" s="2" t="n">
        <v>23</v>
      </c>
      <c r="B25" s="2" t="s">
        <v>897</v>
      </c>
      <c r="C25" s="2" t="s">
        <v>902</v>
      </c>
      <c r="D25" s="2" t="s">
        <v>903</v>
      </c>
      <c r="E25" s="2" t="s">
        <v>904</v>
      </c>
      <c r="F25" s="2" t="s">
        <v>56</v>
      </c>
      <c r="G25" s="2" t="s">
        <v>259</v>
      </c>
      <c r="H25" s="2" t="s">
        <v>833</v>
      </c>
      <c r="I25" s="2"/>
    </row>
    <row r="26" customFormat="false" ht="23.85" hidden="false" customHeight="false" outlineLevel="0" collapsed="false">
      <c r="A26" s="2" t="n">
        <v>24</v>
      </c>
      <c r="B26" s="2" t="s">
        <v>897</v>
      </c>
      <c r="C26" s="2" t="s">
        <v>905</v>
      </c>
      <c r="D26" s="2" t="s">
        <v>906</v>
      </c>
      <c r="E26" s="2" t="s">
        <v>907</v>
      </c>
      <c r="F26" s="2" t="s">
        <v>52</v>
      </c>
      <c r="G26" s="2" t="s">
        <v>259</v>
      </c>
      <c r="H26" s="2" t="s">
        <v>833</v>
      </c>
      <c r="I26" s="2"/>
    </row>
    <row r="27" customFormat="false" ht="23.85" hidden="false" customHeight="false" outlineLevel="0" collapsed="false">
      <c r="A27" s="2" t="n">
        <v>25</v>
      </c>
      <c r="B27" s="2" t="s">
        <v>897</v>
      </c>
      <c r="C27" s="2" t="s">
        <v>908</v>
      </c>
      <c r="D27" s="2" t="s">
        <v>909</v>
      </c>
      <c r="E27" s="2" t="s">
        <v>910</v>
      </c>
      <c r="F27" s="2" t="s">
        <v>44</v>
      </c>
      <c r="G27" s="2" t="s">
        <v>259</v>
      </c>
      <c r="H27" s="2" t="s">
        <v>833</v>
      </c>
      <c r="I27" s="2"/>
    </row>
    <row r="28" customFormat="false" ht="23.85" hidden="false" customHeight="false" outlineLevel="0" collapsed="false">
      <c r="A28" s="2" t="n">
        <v>26</v>
      </c>
      <c r="B28" s="2" t="s">
        <v>897</v>
      </c>
      <c r="C28" s="2" t="s">
        <v>911</v>
      </c>
      <c r="D28" s="2" t="s">
        <v>912</v>
      </c>
      <c r="E28" s="2" t="s">
        <v>913</v>
      </c>
      <c r="F28" s="2" t="s">
        <v>914</v>
      </c>
      <c r="G28" s="2" t="s">
        <v>259</v>
      </c>
      <c r="H28" s="2" t="s">
        <v>833</v>
      </c>
      <c r="I28" s="2"/>
    </row>
    <row r="29" customFormat="false" ht="23.85" hidden="false" customHeight="false" outlineLevel="0" collapsed="false">
      <c r="A29" s="2" t="n">
        <v>27</v>
      </c>
      <c r="B29" s="2" t="s">
        <v>897</v>
      </c>
      <c r="C29" s="2" t="s">
        <v>915</v>
      </c>
      <c r="D29" s="2" t="s">
        <v>916</v>
      </c>
      <c r="E29" s="2" t="s">
        <v>917</v>
      </c>
      <c r="F29" s="2" t="s">
        <v>837</v>
      </c>
      <c r="G29" s="2" t="s">
        <v>259</v>
      </c>
      <c r="H29" s="2" t="s">
        <v>833</v>
      </c>
      <c r="I29" s="2"/>
    </row>
    <row r="30" customFormat="false" ht="23.85" hidden="false" customHeight="false" outlineLevel="0" collapsed="false">
      <c r="A30" s="2" t="n">
        <v>28</v>
      </c>
      <c r="B30" s="2" t="s">
        <v>897</v>
      </c>
      <c r="C30" s="2" t="s">
        <v>918</v>
      </c>
      <c r="D30" s="2" t="s">
        <v>919</v>
      </c>
      <c r="E30" s="2" t="s">
        <v>920</v>
      </c>
      <c r="F30" s="2" t="s">
        <v>783</v>
      </c>
      <c r="G30" s="2" t="s">
        <v>259</v>
      </c>
      <c r="H30" s="2" t="s">
        <v>833</v>
      </c>
      <c r="I30" s="2"/>
    </row>
    <row r="31" customFormat="false" ht="23.85" hidden="false" customHeight="false" outlineLevel="0" collapsed="false">
      <c r="A31" s="2" t="n">
        <v>29</v>
      </c>
      <c r="B31" s="2" t="s">
        <v>897</v>
      </c>
      <c r="C31" s="2" t="s">
        <v>921</v>
      </c>
      <c r="D31" s="2" t="s">
        <v>922</v>
      </c>
      <c r="E31" s="2" t="s">
        <v>923</v>
      </c>
      <c r="F31" s="2" t="s">
        <v>914</v>
      </c>
      <c r="G31" s="2" t="s">
        <v>259</v>
      </c>
      <c r="H31" s="2" t="s">
        <v>833</v>
      </c>
      <c r="I31" s="2"/>
    </row>
    <row r="32" customFormat="false" ht="23.85" hidden="false" customHeight="false" outlineLevel="0" collapsed="false">
      <c r="A32" s="2" t="n">
        <v>30</v>
      </c>
      <c r="B32" s="2" t="s">
        <v>897</v>
      </c>
      <c r="C32" s="2" t="s">
        <v>924</v>
      </c>
      <c r="D32" s="2" t="s">
        <v>925</v>
      </c>
      <c r="E32" s="2" t="s">
        <v>926</v>
      </c>
      <c r="F32" s="2" t="s">
        <v>40</v>
      </c>
      <c r="G32" s="2" t="s">
        <v>259</v>
      </c>
      <c r="H32" s="2" t="s">
        <v>833</v>
      </c>
      <c r="I32" s="2"/>
    </row>
  </sheetData>
  <autoFilter ref="A2:J502"/>
  <conditionalFormatting sqref="H3:H502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2">
      <formula>"Blocked"</formula>
    </cfRule>
  </conditionalFormatting>
  <dataValidations count="2">
    <dataValidation allowBlank="true" errorStyle="stop" operator="between" showDropDown="false" showErrorMessage="false" showInputMessage="false" sqref="H3:H502" type="list">
      <formula1>'Reference Lists'!$W$2:$W$6</formula1>
      <formula2>0</formula2>
    </dataValidation>
    <dataValidation allowBlank="true" errorStyle="stop" operator="between" showDropDown="false" showErrorMessage="false" showInputMessage="false" sqref="G3:G502" type="list">
      <formula1>'Reference Lists'!$H$2:$H$6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48"/>
    <col collapsed="false" customWidth="true" hidden="false" outlineLevel="0" max="2" min="2" style="2" width="24"/>
    <col collapsed="false" customWidth="true" hidden="false" outlineLevel="0" max="3" min="3" style="2" width="46"/>
    <col collapsed="false" customWidth="true" hidden="false" outlineLevel="0" max="4" min="4" style="2" width="36"/>
    <col collapsed="false" customWidth="true" hidden="false" outlineLevel="0" max="5" min="5" style="2" width="22"/>
    <col collapsed="false" customWidth="true" hidden="false" outlineLevel="0" max="6" min="6" style="2" width="18"/>
  </cols>
  <sheetData>
    <row r="1" customFormat="false" ht="15" hidden="false" customHeight="false" outlineLevel="0" collapsed="false">
      <c r="A1" s="8" t="s">
        <v>927</v>
      </c>
    </row>
    <row r="2" customFormat="false" ht="36" hidden="false" customHeight="true" outlineLevel="0" collapsed="false">
      <c r="A2" s="13" t="s">
        <v>928</v>
      </c>
      <c r="B2" s="13" t="s">
        <v>929</v>
      </c>
      <c r="C2" s="13" t="s">
        <v>930</v>
      </c>
      <c r="D2" s="13" t="s">
        <v>931</v>
      </c>
      <c r="E2" s="13" t="s">
        <v>932</v>
      </c>
      <c r="F2" s="13" t="s">
        <v>933</v>
      </c>
    </row>
    <row r="3" customFormat="false" ht="23.85" hidden="false" customHeight="false" outlineLevel="0" collapsed="false">
      <c r="A3" s="2" t="s">
        <v>934</v>
      </c>
      <c r="B3" s="2" t="s">
        <v>259</v>
      </c>
      <c r="C3" s="2" t="s">
        <v>935</v>
      </c>
      <c r="D3" s="2" t="s">
        <v>936</v>
      </c>
      <c r="E3" s="2" t="s">
        <v>259</v>
      </c>
    </row>
    <row r="4" customFormat="false" ht="23.85" hidden="false" customHeight="false" outlineLevel="0" collapsed="false">
      <c r="A4" s="2" t="s">
        <v>937</v>
      </c>
      <c r="B4" s="2" t="s">
        <v>259</v>
      </c>
      <c r="C4" s="2" t="s">
        <v>938</v>
      </c>
      <c r="D4" s="2" t="s">
        <v>939</v>
      </c>
      <c r="E4" s="2" t="s">
        <v>259</v>
      </c>
    </row>
    <row r="5" customFormat="false" ht="23.85" hidden="false" customHeight="false" outlineLevel="0" collapsed="false">
      <c r="A5" s="2" t="s">
        <v>940</v>
      </c>
      <c r="B5" s="2" t="s">
        <v>259</v>
      </c>
      <c r="C5" s="2" t="s">
        <v>941</v>
      </c>
      <c r="D5" s="2" t="s">
        <v>942</v>
      </c>
      <c r="E5" s="2" t="s">
        <v>259</v>
      </c>
    </row>
    <row r="6" customFormat="false" ht="15" hidden="false" customHeight="false" outlineLevel="0" collapsed="false">
      <c r="A6" s="2" t="s">
        <v>943</v>
      </c>
      <c r="B6" s="2" t="s">
        <v>259</v>
      </c>
      <c r="C6" s="2" t="s">
        <v>944</v>
      </c>
      <c r="D6" s="2" t="s">
        <v>945</v>
      </c>
      <c r="E6" s="2" t="s">
        <v>259</v>
      </c>
    </row>
    <row r="7" customFormat="false" ht="23.85" hidden="false" customHeight="false" outlineLevel="0" collapsed="false">
      <c r="A7" s="2" t="s">
        <v>946</v>
      </c>
      <c r="B7" s="2" t="s">
        <v>259</v>
      </c>
      <c r="C7" s="2" t="s">
        <v>947</v>
      </c>
      <c r="D7" s="2" t="s">
        <v>948</v>
      </c>
      <c r="E7" s="2" t="s">
        <v>259</v>
      </c>
    </row>
    <row r="8" customFormat="false" ht="23.85" hidden="false" customHeight="false" outlineLevel="0" collapsed="false">
      <c r="A8" s="2" t="s">
        <v>949</v>
      </c>
      <c r="B8" s="2" t="s">
        <v>259</v>
      </c>
      <c r="C8" s="2" t="s">
        <v>950</v>
      </c>
      <c r="D8" s="2" t="s">
        <v>951</v>
      </c>
      <c r="E8" s="2" t="s">
        <v>259</v>
      </c>
    </row>
    <row r="9" customFormat="false" ht="23.85" hidden="false" customHeight="false" outlineLevel="0" collapsed="false">
      <c r="A9" s="2" t="s">
        <v>952</v>
      </c>
      <c r="B9" s="2" t="s">
        <v>251</v>
      </c>
      <c r="C9" s="2" t="s">
        <v>953</v>
      </c>
      <c r="D9" s="2" t="s">
        <v>954</v>
      </c>
      <c r="E9" s="2" t="s">
        <v>251</v>
      </c>
    </row>
    <row r="10" customFormat="false" ht="23.85" hidden="false" customHeight="false" outlineLevel="0" collapsed="false">
      <c r="A10" s="2" t="s">
        <v>955</v>
      </c>
      <c r="B10" s="2" t="s">
        <v>251</v>
      </c>
      <c r="C10" s="2" t="s">
        <v>956</v>
      </c>
      <c r="D10" s="2" t="s">
        <v>957</v>
      </c>
      <c r="E10" s="2" t="s">
        <v>251</v>
      </c>
    </row>
    <row r="11" customFormat="false" ht="23.85" hidden="false" customHeight="false" outlineLevel="0" collapsed="false">
      <c r="A11" s="2" t="s">
        <v>958</v>
      </c>
      <c r="B11" s="2" t="s">
        <v>251</v>
      </c>
      <c r="C11" s="2" t="s">
        <v>959</v>
      </c>
      <c r="D11" s="2" t="s">
        <v>960</v>
      </c>
      <c r="E11" s="2" t="s">
        <v>251</v>
      </c>
    </row>
    <row r="12" customFormat="false" ht="23.85" hidden="false" customHeight="false" outlineLevel="0" collapsed="false">
      <c r="A12" s="2" t="s">
        <v>961</v>
      </c>
      <c r="B12" s="2" t="s">
        <v>266</v>
      </c>
      <c r="C12" s="2" t="s">
        <v>962</v>
      </c>
      <c r="D12" s="2" t="s">
        <v>963</v>
      </c>
      <c r="E12" s="2" t="s">
        <v>266</v>
      </c>
    </row>
    <row r="13" customFormat="false" ht="15" hidden="false" customHeight="false" outlineLevel="0" collapsed="false">
      <c r="A13" s="2" t="s">
        <v>964</v>
      </c>
      <c r="B13" s="2" t="s">
        <v>266</v>
      </c>
      <c r="C13" s="2" t="s">
        <v>965</v>
      </c>
      <c r="D13" s="2" t="s">
        <v>966</v>
      </c>
      <c r="E13" s="2" t="s">
        <v>266</v>
      </c>
    </row>
    <row r="14" customFormat="false" ht="15" hidden="false" customHeight="false" outlineLevel="0" collapsed="false">
      <c r="A14" s="2" t="s">
        <v>967</v>
      </c>
      <c r="B14" s="2" t="s">
        <v>266</v>
      </c>
      <c r="C14" s="2" t="s">
        <v>968</v>
      </c>
      <c r="D14" s="2" t="s">
        <v>969</v>
      </c>
      <c r="E14" s="2" t="s">
        <v>266</v>
      </c>
    </row>
    <row r="15" customFormat="false" ht="23.85" hidden="false" customHeight="false" outlineLevel="0" collapsed="false">
      <c r="A15" s="2" t="s">
        <v>970</v>
      </c>
      <c r="B15" s="2" t="s">
        <v>266</v>
      </c>
      <c r="C15" s="2" t="s">
        <v>971</v>
      </c>
      <c r="D15" s="2" t="s">
        <v>972</v>
      </c>
      <c r="E15" s="2" t="s">
        <v>266</v>
      </c>
    </row>
    <row r="16" customFormat="false" ht="15" hidden="false" customHeight="false" outlineLevel="0" collapsed="false">
      <c r="A16" s="2" t="s">
        <v>973</v>
      </c>
      <c r="B16" s="2" t="s">
        <v>266</v>
      </c>
      <c r="C16" s="2" t="s">
        <v>974</v>
      </c>
      <c r="D16" s="2" t="s">
        <v>975</v>
      </c>
      <c r="E16" s="2" t="s">
        <v>266</v>
      </c>
    </row>
    <row r="17" customFormat="false" ht="15" hidden="false" customHeight="false" outlineLevel="0" collapsed="false">
      <c r="A17" s="2" t="s">
        <v>976</v>
      </c>
      <c r="B17" s="2" t="s">
        <v>266</v>
      </c>
      <c r="C17" s="2" t="s">
        <v>977</v>
      </c>
      <c r="D17" s="2" t="s">
        <v>978</v>
      </c>
      <c r="E17" s="2" t="s">
        <v>266</v>
      </c>
    </row>
    <row r="18" customFormat="false" ht="23.85" hidden="false" customHeight="false" outlineLevel="0" collapsed="false">
      <c r="A18" s="2" t="s">
        <v>979</v>
      </c>
      <c r="B18" s="2" t="s">
        <v>266</v>
      </c>
      <c r="C18" s="2" t="s">
        <v>980</v>
      </c>
      <c r="D18" s="2" t="s">
        <v>981</v>
      </c>
      <c r="E18" s="2" t="s">
        <v>266</v>
      </c>
    </row>
    <row r="19" customFormat="false" ht="23.85" hidden="false" customHeight="false" outlineLevel="0" collapsed="false">
      <c r="A19" s="2" t="s">
        <v>982</v>
      </c>
      <c r="B19" s="2" t="s">
        <v>266</v>
      </c>
      <c r="C19" s="2" t="s">
        <v>983</v>
      </c>
      <c r="D19" s="2" t="s">
        <v>984</v>
      </c>
      <c r="E19" s="2" t="s">
        <v>266</v>
      </c>
    </row>
    <row r="20" customFormat="false" ht="23.85" hidden="false" customHeight="false" outlineLevel="0" collapsed="false">
      <c r="A20" s="2" t="s">
        <v>985</v>
      </c>
      <c r="B20" s="2" t="s">
        <v>887</v>
      </c>
      <c r="C20" s="2" t="s">
        <v>986</v>
      </c>
      <c r="D20" s="2" t="s">
        <v>987</v>
      </c>
      <c r="E20" s="2" t="s">
        <v>887</v>
      </c>
    </row>
    <row r="21" customFormat="false" ht="15" hidden="false" customHeight="false" outlineLevel="0" collapsed="false">
      <c r="A21" s="2" t="s">
        <v>988</v>
      </c>
      <c r="B21" s="2" t="s">
        <v>887</v>
      </c>
      <c r="C21" s="2" t="s">
        <v>989</v>
      </c>
      <c r="D21" s="2" t="s">
        <v>990</v>
      </c>
      <c r="E21" s="2" t="s">
        <v>887</v>
      </c>
    </row>
    <row r="22" customFormat="false" ht="23.85" hidden="false" customHeight="false" outlineLevel="0" collapsed="false">
      <c r="A22" s="2" t="s">
        <v>991</v>
      </c>
      <c r="B22" s="2" t="s">
        <v>992</v>
      </c>
      <c r="C22" s="2" t="s">
        <v>993</v>
      </c>
      <c r="D22" s="2" t="s">
        <v>994</v>
      </c>
      <c r="E22" s="2" t="s">
        <v>992</v>
      </c>
    </row>
    <row r="23" customFormat="false" ht="15" hidden="false" customHeight="false" outlineLevel="0" collapsed="false">
      <c r="A23" s="2" t="s">
        <v>995</v>
      </c>
      <c r="B23" s="2" t="s">
        <v>992</v>
      </c>
      <c r="C23" s="2" t="s">
        <v>996</v>
      </c>
      <c r="D23" s="2" t="s">
        <v>997</v>
      </c>
      <c r="E23" s="2" t="s">
        <v>992</v>
      </c>
    </row>
  </sheetData>
  <autoFilter ref="A2:F502"/>
  <dataValidations count="2">
    <dataValidation allowBlank="true" error="Use the dropdown. Edit lists on the Reference Lists sheet." errorStyle="stop" errorTitle="Pick from list" operator="between" showDropDown="false" showErrorMessage="true" showInputMessage="false" sqref="E3:E502" type="list">
      <formula1>'Reference Lists'!$H$2:$H$6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F3:F502" type="list">
      <formula1>'Reference Lists'!$N$2:$N$4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24"/>
    <col collapsed="false" customWidth="true" hidden="false" outlineLevel="0" max="2" min="2" style="2" width="44"/>
    <col collapsed="false" customWidth="true" hidden="false" outlineLevel="0" max="3" min="3" style="2" width="34"/>
    <col collapsed="false" customWidth="true" hidden="false" outlineLevel="0" max="4" min="4" style="2" width="44"/>
    <col collapsed="false" customWidth="true" hidden="false" outlineLevel="0" max="5" min="5" style="2" width="36"/>
    <col collapsed="false" customWidth="true" hidden="false" outlineLevel="0" max="6" min="6" style="2" width="22"/>
    <col collapsed="false" customWidth="true" hidden="false" outlineLevel="0" max="7" min="7" style="2" width="16"/>
    <col collapsed="false" customWidth="true" hidden="false" outlineLevel="0" max="8" min="8" style="20" width="13"/>
    <col collapsed="false" customWidth="true" hidden="false" outlineLevel="0" max="9" min="9" style="2" width="16"/>
    <col collapsed="false" customWidth="true" hidden="false" outlineLevel="0" max="10" min="10" style="20" width="13"/>
    <col collapsed="false" customWidth="true" hidden="false" outlineLevel="0" max="11" min="11" style="2" width="32"/>
  </cols>
  <sheetData>
    <row r="1" customFormat="false" ht="15" hidden="false" customHeight="false" outlineLevel="0" collapsed="false">
      <c r="A1" s="8" t="s">
        <v>998</v>
      </c>
    </row>
    <row r="2" customFormat="false" ht="36" hidden="false" customHeight="true" outlineLevel="0" collapsed="false">
      <c r="A2" s="13" t="s">
        <v>999</v>
      </c>
      <c r="B2" s="13" t="s">
        <v>1000</v>
      </c>
      <c r="C2" s="13" t="s">
        <v>1001</v>
      </c>
      <c r="D2" s="13" t="s">
        <v>1002</v>
      </c>
      <c r="E2" s="13" t="s">
        <v>1003</v>
      </c>
      <c r="F2" s="13" t="s">
        <v>1004</v>
      </c>
      <c r="G2" s="13" t="s">
        <v>1005</v>
      </c>
      <c r="H2" s="13" t="s">
        <v>1006</v>
      </c>
      <c r="I2" s="13" t="s">
        <v>785</v>
      </c>
      <c r="J2" s="13" t="s">
        <v>1007</v>
      </c>
      <c r="K2" s="13" t="s">
        <v>1008</v>
      </c>
    </row>
    <row r="3" customFormat="false" ht="23.85" hidden="false" customHeight="false" outlineLevel="0" collapsed="false">
      <c r="A3" s="2" t="s">
        <v>1009</v>
      </c>
      <c r="B3" s="2" t="s">
        <v>1010</v>
      </c>
      <c r="C3" s="2" t="s">
        <v>1011</v>
      </c>
      <c r="D3" s="2" t="s">
        <v>1012</v>
      </c>
      <c r="E3" s="2" t="s">
        <v>1013</v>
      </c>
      <c r="F3" s="2" t="s">
        <v>1014</v>
      </c>
      <c r="G3" s="2" t="s">
        <v>1015</v>
      </c>
      <c r="H3" s="2"/>
      <c r="J3" s="2"/>
    </row>
    <row r="4" customFormat="false" ht="23.85" hidden="false" customHeight="false" outlineLevel="0" collapsed="false">
      <c r="A4" s="2" t="s">
        <v>1009</v>
      </c>
      <c r="B4" s="2" t="s">
        <v>1016</v>
      </c>
      <c r="C4" s="2" t="s">
        <v>1017</v>
      </c>
      <c r="D4" s="2" t="s">
        <v>1018</v>
      </c>
      <c r="E4" s="2" t="s">
        <v>1019</v>
      </c>
      <c r="F4" s="2" t="s">
        <v>1020</v>
      </c>
      <c r="G4" s="2" t="s">
        <v>1015</v>
      </c>
      <c r="H4" s="2"/>
      <c r="J4" s="2"/>
    </row>
    <row r="5" customFormat="false" ht="15" hidden="false" customHeight="false" outlineLevel="0" collapsed="false">
      <c r="A5" s="2" t="s">
        <v>1009</v>
      </c>
      <c r="B5" s="2" t="s">
        <v>1021</v>
      </c>
      <c r="C5" s="2" t="s">
        <v>1022</v>
      </c>
      <c r="D5" s="2" t="s">
        <v>1023</v>
      </c>
      <c r="E5" s="2" t="s">
        <v>1024</v>
      </c>
      <c r="F5" s="2" t="s">
        <v>1020</v>
      </c>
      <c r="G5" s="2" t="s">
        <v>1015</v>
      </c>
      <c r="H5" s="2"/>
      <c r="J5" s="2"/>
    </row>
    <row r="6" customFormat="false" ht="23.85" hidden="false" customHeight="false" outlineLevel="0" collapsed="false">
      <c r="A6" s="2" t="s">
        <v>1025</v>
      </c>
      <c r="B6" s="2" t="s">
        <v>1026</v>
      </c>
      <c r="C6" s="2" t="s">
        <v>1027</v>
      </c>
      <c r="D6" s="2" t="s">
        <v>1028</v>
      </c>
      <c r="E6" s="2" t="s">
        <v>1029</v>
      </c>
      <c r="F6" s="2" t="s">
        <v>1030</v>
      </c>
      <c r="G6" s="2" t="s">
        <v>1015</v>
      </c>
      <c r="H6" s="2"/>
      <c r="J6" s="2"/>
    </row>
    <row r="7" customFormat="false" ht="23.85" hidden="false" customHeight="false" outlineLevel="0" collapsed="false">
      <c r="A7" s="2" t="s">
        <v>1025</v>
      </c>
      <c r="B7" s="2" t="s">
        <v>1031</v>
      </c>
      <c r="C7" s="2" t="s">
        <v>1032</v>
      </c>
      <c r="D7" s="2" t="s">
        <v>1033</v>
      </c>
      <c r="E7" s="2" t="s">
        <v>1034</v>
      </c>
      <c r="F7" s="2" t="s">
        <v>1030</v>
      </c>
      <c r="G7" s="2" t="s">
        <v>1015</v>
      </c>
      <c r="H7" s="2"/>
      <c r="J7" s="2"/>
    </row>
    <row r="8" customFormat="false" ht="23.85" hidden="false" customHeight="false" outlineLevel="0" collapsed="false">
      <c r="A8" s="2" t="s">
        <v>1025</v>
      </c>
      <c r="B8" s="2" t="s">
        <v>1035</v>
      </c>
      <c r="C8" s="2" t="s">
        <v>1036</v>
      </c>
      <c r="D8" s="2" t="s">
        <v>1037</v>
      </c>
      <c r="E8" s="2" t="s">
        <v>1038</v>
      </c>
      <c r="F8" s="2" t="s">
        <v>1014</v>
      </c>
      <c r="G8" s="2" t="s">
        <v>1015</v>
      </c>
      <c r="H8" s="2"/>
      <c r="J8" s="2"/>
    </row>
    <row r="9" customFormat="false" ht="15" hidden="false" customHeight="false" outlineLevel="0" collapsed="false">
      <c r="A9" s="2" t="s">
        <v>1025</v>
      </c>
      <c r="B9" s="2" t="s">
        <v>1039</v>
      </c>
      <c r="C9" s="2" t="s">
        <v>1040</v>
      </c>
      <c r="D9" s="2" t="s">
        <v>1041</v>
      </c>
      <c r="E9" s="2" t="s">
        <v>1042</v>
      </c>
      <c r="F9" s="2" t="s">
        <v>1020</v>
      </c>
      <c r="G9" s="2" t="s">
        <v>1015</v>
      </c>
      <c r="H9" s="2"/>
      <c r="J9" s="2"/>
    </row>
    <row r="10" customFormat="false" ht="15" hidden="false" customHeight="false" outlineLevel="0" collapsed="false">
      <c r="A10" s="2" t="s">
        <v>1025</v>
      </c>
      <c r="B10" s="2" t="s">
        <v>1043</v>
      </c>
      <c r="C10" s="2" t="s">
        <v>1044</v>
      </c>
      <c r="D10" s="2" t="s">
        <v>1045</v>
      </c>
      <c r="E10" s="2" t="s">
        <v>1046</v>
      </c>
      <c r="F10" s="2" t="s">
        <v>1030</v>
      </c>
      <c r="G10" s="2" t="s">
        <v>1015</v>
      </c>
      <c r="H10" s="2"/>
      <c r="J10" s="2"/>
    </row>
    <row r="11" customFormat="false" ht="23.85" hidden="false" customHeight="false" outlineLevel="0" collapsed="false">
      <c r="A11" s="2" t="s">
        <v>1047</v>
      </c>
      <c r="B11" s="2" t="s">
        <v>1048</v>
      </c>
      <c r="C11" s="2" t="s">
        <v>1049</v>
      </c>
      <c r="D11" s="2" t="s">
        <v>1050</v>
      </c>
      <c r="E11" s="2" t="s">
        <v>1051</v>
      </c>
      <c r="F11" s="2" t="s">
        <v>1020</v>
      </c>
      <c r="G11" s="2" t="s">
        <v>1015</v>
      </c>
      <c r="H11" s="2"/>
      <c r="J11" s="2"/>
    </row>
    <row r="12" customFormat="false" ht="23.85" hidden="false" customHeight="false" outlineLevel="0" collapsed="false">
      <c r="A12" s="2" t="s">
        <v>1047</v>
      </c>
      <c r="B12" s="2" t="s">
        <v>1052</v>
      </c>
      <c r="C12" s="2" t="s">
        <v>1053</v>
      </c>
      <c r="D12" s="2" t="s">
        <v>1054</v>
      </c>
      <c r="E12" s="2" t="s">
        <v>1055</v>
      </c>
      <c r="F12" s="2" t="s">
        <v>1056</v>
      </c>
      <c r="G12" s="2" t="s">
        <v>1015</v>
      </c>
      <c r="H12" s="2"/>
      <c r="J12" s="2"/>
    </row>
    <row r="13" customFormat="false" ht="23.85" hidden="false" customHeight="false" outlineLevel="0" collapsed="false">
      <c r="A13" s="2" t="s">
        <v>1047</v>
      </c>
      <c r="B13" s="2" t="s">
        <v>1057</v>
      </c>
      <c r="C13" s="2" t="s">
        <v>1058</v>
      </c>
      <c r="D13" s="2" t="s">
        <v>1059</v>
      </c>
      <c r="E13" s="2" t="s">
        <v>1060</v>
      </c>
      <c r="F13" s="2" t="s">
        <v>1020</v>
      </c>
      <c r="G13" s="2" t="s">
        <v>1015</v>
      </c>
      <c r="H13" s="2"/>
      <c r="J13" s="2"/>
    </row>
    <row r="14" customFormat="false" ht="23.85" hidden="false" customHeight="false" outlineLevel="0" collapsed="false">
      <c r="A14" s="2" t="s">
        <v>1047</v>
      </c>
      <c r="B14" s="2" t="s">
        <v>1061</v>
      </c>
      <c r="C14" s="2" t="s">
        <v>1062</v>
      </c>
      <c r="D14" s="2" t="s">
        <v>1063</v>
      </c>
      <c r="E14" s="2" t="s">
        <v>1064</v>
      </c>
      <c r="F14" s="2" t="s">
        <v>1065</v>
      </c>
      <c r="G14" s="2" t="s">
        <v>1015</v>
      </c>
      <c r="H14" s="2"/>
      <c r="J14" s="2"/>
    </row>
    <row r="15" customFormat="false" ht="23.85" hidden="false" customHeight="false" outlineLevel="0" collapsed="false">
      <c r="A15" s="2" t="s">
        <v>1047</v>
      </c>
      <c r="B15" s="2" t="s">
        <v>1066</v>
      </c>
      <c r="C15" s="2" t="s">
        <v>1067</v>
      </c>
      <c r="D15" s="2" t="s">
        <v>1068</v>
      </c>
      <c r="E15" s="2" t="s">
        <v>1069</v>
      </c>
      <c r="F15" s="2" t="s">
        <v>1020</v>
      </c>
      <c r="G15" s="2" t="s">
        <v>1015</v>
      </c>
      <c r="H15" s="2"/>
      <c r="J15" s="2"/>
    </row>
    <row r="16" customFormat="false" ht="23.85" hidden="false" customHeight="false" outlineLevel="0" collapsed="false">
      <c r="A16" s="2" t="s">
        <v>1070</v>
      </c>
      <c r="B16" s="2" t="s">
        <v>1071</v>
      </c>
      <c r="C16" s="2" t="s">
        <v>1072</v>
      </c>
      <c r="D16" s="2" t="s">
        <v>1073</v>
      </c>
      <c r="E16" s="2" t="s">
        <v>1074</v>
      </c>
      <c r="F16" s="2" t="s">
        <v>1075</v>
      </c>
      <c r="G16" s="2" t="s">
        <v>1015</v>
      </c>
      <c r="H16" s="2"/>
      <c r="J16" s="2"/>
    </row>
    <row r="17" customFormat="false" ht="23.85" hidden="false" customHeight="false" outlineLevel="0" collapsed="false">
      <c r="A17" s="2" t="s">
        <v>1070</v>
      </c>
      <c r="B17" s="2" t="s">
        <v>1076</v>
      </c>
      <c r="C17" s="2" t="s">
        <v>1077</v>
      </c>
      <c r="D17" s="2" t="s">
        <v>1078</v>
      </c>
      <c r="E17" s="2" t="s">
        <v>1079</v>
      </c>
      <c r="F17" s="2" t="s">
        <v>1075</v>
      </c>
      <c r="G17" s="2" t="s">
        <v>1015</v>
      </c>
      <c r="H17" s="2"/>
      <c r="J17" s="2"/>
    </row>
    <row r="18" customFormat="false" ht="23.85" hidden="false" customHeight="false" outlineLevel="0" collapsed="false">
      <c r="A18" s="2" t="s">
        <v>1070</v>
      </c>
      <c r="B18" s="2" t="s">
        <v>1080</v>
      </c>
      <c r="C18" s="2" t="s">
        <v>1081</v>
      </c>
      <c r="D18" s="2" t="s">
        <v>1082</v>
      </c>
      <c r="E18" s="2" t="s">
        <v>1083</v>
      </c>
      <c r="F18" s="2" t="s">
        <v>1075</v>
      </c>
      <c r="G18" s="2" t="s">
        <v>1015</v>
      </c>
      <c r="H18" s="2"/>
      <c r="J18" s="2"/>
    </row>
    <row r="19" customFormat="false" ht="23.85" hidden="false" customHeight="false" outlineLevel="0" collapsed="false">
      <c r="A19" s="2" t="s">
        <v>1070</v>
      </c>
      <c r="B19" s="2" t="s">
        <v>1084</v>
      </c>
      <c r="C19" s="2" t="s">
        <v>1085</v>
      </c>
      <c r="D19" s="2" t="s">
        <v>1086</v>
      </c>
      <c r="E19" s="2" t="s">
        <v>1087</v>
      </c>
      <c r="F19" s="2" t="s">
        <v>1075</v>
      </c>
      <c r="G19" s="2" t="s">
        <v>1015</v>
      </c>
      <c r="H19" s="2"/>
      <c r="J19" s="2"/>
    </row>
    <row r="20" customFormat="false" ht="15" hidden="false" customHeight="false" outlineLevel="0" collapsed="false">
      <c r="A20" s="2" t="s">
        <v>1070</v>
      </c>
      <c r="B20" s="2" t="s">
        <v>1088</v>
      </c>
      <c r="C20" s="2" t="s">
        <v>1089</v>
      </c>
      <c r="D20" s="2" t="s">
        <v>1090</v>
      </c>
      <c r="E20" s="2" t="s">
        <v>1091</v>
      </c>
      <c r="F20" s="2" t="s">
        <v>1020</v>
      </c>
      <c r="G20" s="2" t="s">
        <v>1015</v>
      </c>
      <c r="H20" s="2"/>
      <c r="J20" s="2"/>
    </row>
  </sheetData>
  <autoFilter ref="A2:K502"/>
  <dataValidations count="2">
    <dataValidation allowBlank="true" error="Use the dropdown. Edit lists on the Reference Lists sheet." errorStyle="stop" errorTitle="Pick from list" operator="between" showDropDown="false" showErrorMessage="true" showInputMessage="false" sqref="F3:F502" type="list">
      <formula1>'Reference Lists'!$AD$2:$AD$5</formula1>
      <formula2>0</formula2>
    </dataValidation>
    <dataValidation allowBlank="true" error="Use the dropdown. Edit lists on the Reference Lists sheet." errorStyle="stop" errorTitle="Pick from list" operator="between" showDropDown="false" showErrorMessage="true" showInputMessage="false" sqref="G3:G502" type="list">
      <formula1>'Reference Lists'!$AC$2:$AC$7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20"/>
    <col collapsed="false" customWidth="true" hidden="false" outlineLevel="0" max="2" min="2" style="2" width="36"/>
    <col collapsed="false" customWidth="true" hidden="false" outlineLevel="0" max="4" min="3" style="2" width="34"/>
    <col collapsed="false" customWidth="true" hidden="false" outlineLevel="0" max="5" min="5" style="2" width="30"/>
    <col collapsed="false" customWidth="true" hidden="false" outlineLevel="0" max="6" min="6" style="2" width="34"/>
    <col collapsed="false" customWidth="true" hidden="false" outlineLevel="0" max="7" min="7" style="2" width="30"/>
    <col collapsed="false" customWidth="true" hidden="false" outlineLevel="0" max="8" min="8" style="2" width="18"/>
  </cols>
  <sheetData>
    <row r="1" customFormat="false" ht="15" hidden="false" customHeight="false" outlineLevel="0" collapsed="false">
      <c r="A1" s="8" t="s">
        <v>1092</v>
      </c>
    </row>
    <row r="2" customFormat="false" ht="36" hidden="false" customHeight="true" outlineLevel="0" collapsed="false">
      <c r="A2" s="13" t="s">
        <v>1093</v>
      </c>
      <c r="B2" s="13" t="s">
        <v>1094</v>
      </c>
      <c r="C2" s="13" t="s">
        <v>1095</v>
      </c>
      <c r="D2" s="13" t="s">
        <v>1096</v>
      </c>
      <c r="E2" s="13" t="s">
        <v>233</v>
      </c>
      <c r="F2" s="13" t="s">
        <v>1097</v>
      </c>
      <c r="G2" s="13" t="s">
        <v>1098</v>
      </c>
      <c r="H2" s="13" t="s">
        <v>1099</v>
      </c>
    </row>
    <row r="3" customFormat="false" ht="23.85" hidden="false" customHeight="false" outlineLevel="0" collapsed="false">
      <c r="A3" s="2" t="s">
        <v>1100</v>
      </c>
      <c r="B3" s="2" t="s">
        <v>1101</v>
      </c>
      <c r="C3" s="2" t="s">
        <v>1102</v>
      </c>
      <c r="D3" s="2" t="s">
        <v>1103</v>
      </c>
      <c r="E3" s="2" t="s">
        <v>1104</v>
      </c>
      <c r="F3" s="2" t="s">
        <v>1105</v>
      </c>
      <c r="G3" s="2" t="s">
        <v>1106</v>
      </c>
    </row>
    <row r="4" customFormat="false" ht="23.85" hidden="false" customHeight="false" outlineLevel="0" collapsed="false">
      <c r="A4" s="2" t="s">
        <v>1107</v>
      </c>
      <c r="B4" s="2" t="s">
        <v>1108</v>
      </c>
      <c r="C4" s="2" t="s">
        <v>1109</v>
      </c>
      <c r="D4" s="2" t="s">
        <v>1110</v>
      </c>
      <c r="E4" s="2" t="s">
        <v>1111</v>
      </c>
      <c r="F4" s="2" t="s">
        <v>1112</v>
      </c>
      <c r="G4" s="2" t="s">
        <v>1113</v>
      </c>
    </row>
    <row r="5" customFormat="false" ht="23.85" hidden="false" customHeight="false" outlineLevel="0" collapsed="false">
      <c r="A5" s="2" t="s">
        <v>1114</v>
      </c>
      <c r="B5" s="2" t="s">
        <v>1115</v>
      </c>
      <c r="C5" s="2" t="s">
        <v>1116</v>
      </c>
      <c r="D5" s="2" t="s">
        <v>1117</v>
      </c>
      <c r="E5" s="2" t="s">
        <v>1118</v>
      </c>
      <c r="F5" s="2" t="s">
        <v>1119</v>
      </c>
      <c r="G5" s="2" t="s">
        <v>1120</v>
      </c>
    </row>
    <row r="6" customFormat="false" ht="23.85" hidden="false" customHeight="false" outlineLevel="0" collapsed="false">
      <c r="A6" s="2" t="s">
        <v>1121</v>
      </c>
      <c r="B6" s="2" t="s">
        <v>1122</v>
      </c>
      <c r="C6" s="2" t="s">
        <v>1123</v>
      </c>
      <c r="D6" s="2" t="s">
        <v>1124</v>
      </c>
      <c r="E6" s="2" t="s">
        <v>1125</v>
      </c>
      <c r="F6" s="2" t="s">
        <v>1126</v>
      </c>
      <c r="G6" s="2" t="s">
        <v>1127</v>
      </c>
    </row>
    <row r="7" customFormat="false" ht="23.85" hidden="false" customHeight="false" outlineLevel="0" collapsed="false">
      <c r="A7" s="2" t="s">
        <v>1128</v>
      </c>
      <c r="B7" s="2" t="s">
        <v>1129</v>
      </c>
      <c r="C7" s="2" t="s">
        <v>1130</v>
      </c>
      <c r="D7" s="2" t="s">
        <v>1131</v>
      </c>
      <c r="E7" s="2" t="s">
        <v>1132</v>
      </c>
      <c r="F7" s="2" t="s">
        <v>1133</v>
      </c>
      <c r="G7" s="2" t="s">
        <v>1134</v>
      </c>
    </row>
    <row r="8" customFormat="false" ht="23.85" hidden="false" customHeight="false" outlineLevel="0" collapsed="false">
      <c r="A8" s="2" t="s">
        <v>1135</v>
      </c>
      <c r="B8" s="2" t="s">
        <v>1136</v>
      </c>
      <c r="C8" s="2" t="s">
        <v>1137</v>
      </c>
      <c r="D8" s="2" t="s">
        <v>1138</v>
      </c>
      <c r="E8" s="2" t="s">
        <v>1139</v>
      </c>
      <c r="F8" s="2" t="s">
        <v>1140</v>
      </c>
      <c r="G8" s="2" t="s">
        <v>1141</v>
      </c>
    </row>
    <row r="9" customFormat="false" ht="23.85" hidden="false" customHeight="false" outlineLevel="0" collapsed="false">
      <c r="A9" s="2" t="s">
        <v>1142</v>
      </c>
      <c r="B9" s="2" t="s">
        <v>1143</v>
      </c>
      <c r="C9" s="2" t="s">
        <v>1144</v>
      </c>
      <c r="D9" s="2" t="s">
        <v>1145</v>
      </c>
      <c r="E9" s="2" t="s">
        <v>1146</v>
      </c>
      <c r="F9" s="2" t="s">
        <v>1147</v>
      </c>
      <c r="G9" s="2" t="s">
        <v>1148</v>
      </c>
    </row>
    <row r="10" customFormat="false" ht="23.85" hidden="false" customHeight="false" outlineLevel="0" collapsed="false">
      <c r="A10" s="2" t="s">
        <v>1149</v>
      </c>
      <c r="B10" s="2" t="s">
        <v>1150</v>
      </c>
      <c r="C10" s="2" t="s">
        <v>1151</v>
      </c>
      <c r="D10" s="2" t="s">
        <v>1152</v>
      </c>
      <c r="E10" s="2" t="s">
        <v>1153</v>
      </c>
      <c r="F10" s="2" t="s">
        <v>1154</v>
      </c>
      <c r="G10" s="2" t="s">
        <v>1155</v>
      </c>
    </row>
  </sheetData>
  <autoFilter ref="A2:H502"/>
  <dataValidations count="1">
    <dataValidation allowBlank="true" error="Use the dropdown. Edit lists on the Reference Lists sheet." errorStyle="stop" errorTitle="Pick from list" operator="between" showDropDown="false" showErrorMessage="true" showInputMessage="false" sqref="H3:H502" type="list">
      <formula1>'Reference Lists'!$N$2:$N$4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22"/>
    <col collapsed="false" customWidth="true" hidden="false" outlineLevel="0" max="2" min="2" style="2" width="60"/>
    <col collapsed="false" customWidth="true" hidden="false" outlineLevel="0" max="3" min="3" style="2" width="32"/>
    <col collapsed="false" customWidth="true" hidden="false" outlineLevel="0" max="4" min="4" style="2" width="16"/>
    <col collapsed="false" customWidth="true" hidden="false" outlineLevel="0" max="5" min="5" style="2" width="40"/>
    <col collapsed="false" customWidth="true" hidden="false" outlineLevel="0" max="6" min="6" style="2" width="18"/>
    <col collapsed="false" customWidth="true" hidden="false" outlineLevel="0" max="7" min="7" style="20" width="12"/>
    <col collapsed="false" customWidth="true" hidden="false" outlineLevel="0" max="8" min="8" style="2" width="30"/>
  </cols>
  <sheetData>
    <row r="1" customFormat="false" ht="15" hidden="false" customHeight="false" outlineLevel="0" collapsed="false">
      <c r="A1" s="8" t="s">
        <v>1156</v>
      </c>
    </row>
    <row r="2" customFormat="false" ht="36" hidden="false" customHeight="true" outlineLevel="0" collapsed="false">
      <c r="A2" s="13" t="s">
        <v>386</v>
      </c>
      <c r="B2" s="13" t="s">
        <v>1157</v>
      </c>
      <c r="C2" s="13" t="s">
        <v>1158</v>
      </c>
      <c r="D2" s="13" t="s">
        <v>224</v>
      </c>
      <c r="E2" s="13" t="s">
        <v>1159</v>
      </c>
      <c r="F2" s="13" t="s">
        <v>1160</v>
      </c>
      <c r="G2" s="13" t="s">
        <v>774</v>
      </c>
      <c r="H2" s="13" t="s">
        <v>236</v>
      </c>
    </row>
    <row r="3" customFormat="false" ht="23.85" hidden="false" customHeight="false" outlineLevel="0" collapsed="false">
      <c r="A3" s="2" t="s">
        <v>1161</v>
      </c>
      <c r="B3" s="2" t="s">
        <v>1162</v>
      </c>
      <c r="C3" s="2" t="s">
        <v>1163</v>
      </c>
      <c r="D3" s="2" t="s">
        <v>1164</v>
      </c>
      <c r="G3" s="2"/>
    </row>
    <row r="4" customFormat="false" ht="23.85" hidden="false" customHeight="false" outlineLevel="0" collapsed="false">
      <c r="A4" s="2" t="s">
        <v>1161</v>
      </c>
      <c r="B4" s="2" t="s">
        <v>1165</v>
      </c>
      <c r="C4" s="2" t="s">
        <v>1166</v>
      </c>
      <c r="D4" s="2" t="s">
        <v>1164</v>
      </c>
      <c r="G4" s="2"/>
    </row>
    <row r="5" customFormat="false" ht="15" hidden="false" customHeight="false" outlineLevel="0" collapsed="false">
      <c r="A5" s="2" t="s">
        <v>1161</v>
      </c>
      <c r="B5" s="2" t="s">
        <v>1167</v>
      </c>
      <c r="C5" s="2" t="s">
        <v>1168</v>
      </c>
      <c r="D5" s="2" t="s">
        <v>1164</v>
      </c>
      <c r="G5" s="2"/>
    </row>
    <row r="6" customFormat="false" ht="15" hidden="false" customHeight="false" outlineLevel="0" collapsed="false">
      <c r="A6" s="2" t="s">
        <v>1161</v>
      </c>
      <c r="B6" s="2" t="s">
        <v>1169</v>
      </c>
      <c r="C6" s="2" t="s">
        <v>1170</v>
      </c>
      <c r="D6" s="2" t="s">
        <v>1164</v>
      </c>
      <c r="G6" s="2"/>
    </row>
    <row r="7" customFormat="false" ht="15" hidden="false" customHeight="false" outlineLevel="0" collapsed="false">
      <c r="A7" s="2" t="s">
        <v>1171</v>
      </c>
      <c r="B7" s="2" t="s">
        <v>1172</v>
      </c>
      <c r="C7" s="2" t="s">
        <v>1173</v>
      </c>
      <c r="D7" s="2" t="s">
        <v>1164</v>
      </c>
      <c r="G7" s="2"/>
    </row>
    <row r="8" customFormat="false" ht="15" hidden="false" customHeight="false" outlineLevel="0" collapsed="false">
      <c r="A8" s="2" t="s">
        <v>1171</v>
      </c>
      <c r="B8" s="2" t="s">
        <v>1174</v>
      </c>
      <c r="C8" s="2" t="s">
        <v>1175</v>
      </c>
      <c r="D8" s="2" t="s">
        <v>1164</v>
      </c>
      <c r="G8" s="2"/>
    </row>
    <row r="9" customFormat="false" ht="15" hidden="false" customHeight="false" outlineLevel="0" collapsed="false">
      <c r="A9" s="2" t="s">
        <v>649</v>
      </c>
      <c r="B9" s="2" t="s">
        <v>1176</v>
      </c>
      <c r="C9" s="2" t="s">
        <v>1177</v>
      </c>
      <c r="D9" s="2" t="s">
        <v>1164</v>
      </c>
      <c r="G9" s="2"/>
    </row>
    <row r="10" customFormat="false" ht="15" hidden="false" customHeight="false" outlineLevel="0" collapsed="false">
      <c r="A10" s="2" t="s">
        <v>649</v>
      </c>
      <c r="B10" s="2" t="s">
        <v>1178</v>
      </c>
      <c r="C10" s="2" t="s">
        <v>1179</v>
      </c>
      <c r="D10" s="2" t="s">
        <v>1164</v>
      </c>
      <c r="G10" s="2"/>
    </row>
    <row r="11" customFormat="false" ht="15" hidden="false" customHeight="false" outlineLevel="0" collapsed="false">
      <c r="A11" s="2" t="s">
        <v>649</v>
      </c>
      <c r="B11" s="2" t="s">
        <v>1180</v>
      </c>
      <c r="C11" s="2" t="s">
        <v>1181</v>
      </c>
      <c r="D11" s="2" t="s">
        <v>1164</v>
      </c>
      <c r="G11" s="2"/>
    </row>
    <row r="12" customFormat="false" ht="15" hidden="false" customHeight="false" outlineLevel="0" collapsed="false">
      <c r="A12" s="2" t="s">
        <v>1182</v>
      </c>
      <c r="B12" s="2" t="s">
        <v>1183</v>
      </c>
      <c r="C12" s="2" t="s">
        <v>1184</v>
      </c>
      <c r="D12" s="2" t="s">
        <v>1164</v>
      </c>
      <c r="G12" s="2"/>
    </row>
    <row r="13" customFormat="false" ht="15" hidden="false" customHeight="false" outlineLevel="0" collapsed="false">
      <c r="A13" s="2" t="s">
        <v>1182</v>
      </c>
      <c r="B13" s="2" t="s">
        <v>1185</v>
      </c>
      <c r="C13" s="2" t="s">
        <v>1186</v>
      </c>
      <c r="D13" s="2" t="s">
        <v>1164</v>
      </c>
      <c r="G13" s="2"/>
    </row>
    <row r="14" customFormat="false" ht="15" hidden="false" customHeight="false" outlineLevel="0" collapsed="false">
      <c r="A14" s="2" t="s">
        <v>1182</v>
      </c>
      <c r="B14" s="2" t="s">
        <v>1187</v>
      </c>
      <c r="C14" s="2" t="s">
        <v>1188</v>
      </c>
      <c r="D14" s="2" t="s">
        <v>1164</v>
      </c>
      <c r="G14" s="2"/>
    </row>
    <row r="15" customFormat="false" ht="15" hidden="false" customHeight="false" outlineLevel="0" collapsed="false">
      <c r="A15" s="2" t="s">
        <v>1189</v>
      </c>
      <c r="B15" s="2" t="s">
        <v>1190</v>
      </c>
      <c r="C15" s="2" t="s">
        <v>387</v>
      </c>
      <c r="D15" s="2" t="s">
        <v>1164</v>
      </c>
      <c r="G15" s="2"/>
    </row>
    <row r="16" customFormat="false" ht="15" hidden="false" customHeight="false" outlineLevel="0" collapsed="false">
      <c r="A16" s="2" t="s">
        <v>1189</v>
      </c>
      <c r="B16" s="2" t="s">
        <v>1191</v>
      </c>
      <c r="C16" s="2" t="s">
        <v>1192</v>
      </c>
      <c r="D16" s="2" t="s">
        <v>1164</v>
      </c>
      <c r="G16" s="2"/>
    </row>
    <row r="17" customFormat="false" ht="15" hidden="false" customHeight="false" outlineLevel="0" collapsed="false">
      <c r="A17" s="2" t="s">
        <v>1189</v>
      </c>
      <c r="B17" s="2" t="s">
        <v>1193</v>
      </c>
      <c r="C17" s="2" t="s">
        <v>1194</v>
      </c>
      <c r="D17" s="2" t="s">
        <v>1164</v>
      </c>
      <c r="G17" s="2"/>
    </row>
    <row r="18" customFormat="false" ht="15" hidden="false" customHeight="false" outlineLevel="0" collapsed="false">
      <c r="A18" s="2" t="s">
        <v>1195</v>
      </c>
      <c r="B18" s="2" t="s">
        <v>1196</v>
      </c>
      <c r="C18" s="2" t="s">
        <v>1197</v>
      </c>
      <c r="D18" s="2" t="s">
        <v>1164</v>
      </c>
      <c r="G18" s="2"/>
    </row>
    <row r="19" customFormat="false" ht="15" hidden="false" customHeight="false" outlineLevel="0" collapsed="false">
      <c r="A19" s="2" t="s">
        <v>1195</v>
      </c>
      <c r="B19" s="2" t="s">
        <v>1198</v>
      </c>
      <c r="C19" s="2" t="s">
        <v>1199</v>
      </c>
      <c r="D19" s="2" t="s">
        <v>1164</v>
      </c>
      <c r="G19" s="2"/>
    </row>
    <row r="20" customFormat="false" ht="15" hidden="false" customHeight="false" outlineLevel="0" collapsed="false">
      <c r="A20" s="2" t="s">
        <v>1200</v>
      </c>
      <c r="B20" s="2" t="s">
        <v>1201</v>
      </c>
      <c r="C20" s="2" t="s">
        <v>1202</v>
      </c>
      <c r="D20" s="2" t="s">
        <v>1164</v>
      </c>
      <c r="G20" s="2"/>
    </row>
    <row r="21" customFormat="false" ht="15" hidden="false" customHeight="false" outlineLevel="0" collapsed="false">
      <c r="A21" s="2" t="s">
        <v>1200</v>
      </c>
      <c r="B21" s="2" t="s">
        <v>1203</v>
      </c>
      <c r="C21" s="2" t="s">
        <v>1204</v>
      </c>
      <c r="D21" s="2" t="s">
        <v>1164</v>
      </c>
      <c r="G21" s="2"/>
    </row>
    <row r="22" customFormat="false" ht="15" hidden="false" customHeight="false" outlineLevel="0" collapsed="false">
      <c r="A22" s="2" t="s">
        <v>1205</v>
      </c>
      <c r="B22" s="2" t="s">
        <v>1206</v>
      </c>
      <c r="C22" s="2" t="s">
        <v>1207</v>
      </c>
      <c r="D22" s="2" t="s">
        <v>1164</v>
      </c>
      <c r="G22" s="2"/>
    </row>
    <row r="23" customFormat="false" ht="15" hidden="false" customHeight="false" outlineLevel="0" collapsed="false">
      <c r="A23" s="2" t="s">
        <v>1205</v>
      </c>
      <c r="B23" s="2" t="s">
        <v>1208</v>
      </c>
      <c r="C23" s="2" t="s">
        <v>1209</v>
      </c>
      <c r="D23" s="2" t="s">
        <v>1164</v>
      </c>
      <c r="G23" s="2"/>
    </row>
    <row r="24" customFormat="false" ht="15" hidden="false" customHeight="false" outlineLevel="0" collapsed="false">
      <c r="A24" s="2" t="s">
        <v>806</v>
      </c>
      <c r="B24" s="2" t="s">
        <v>1210</v>
      </c>
      <c r="C24" s="2" t="s">
        <v>1211</v>
      </c>
      <c r="D24" s="2" t="s">
        <v>1164</v>
      </c>
      <c r="G24" s="2"/>
    </row>
    <row r="25" customFormat="false" ht="15" hidden="false" customHeight="false" outlineLevel="0" collapsed="false">
      <c r="A25" s="2" t="s">
        <v>806</v>
      </c>
      <c r="B25" s="2" t="s">
        <v>1212</v>
      </c>
      <c r="C25" s="2" t="s">
        <v>1213</v>
      </c>
      <c r="D25" s="2" t="s">
        <v>1164</v>
      </c>
      <c r="G25" s="2"/>
    </row>
    <row r="26" customFormat="false" ht="15" hidden="false" customHeight="false" outlineLevel="0" collapsed="false">
      <c r="A26" s="2" t="s">
        <v>807</v>
      </c>
      <c r="B26" s="2" t="s">
        <v>1214</v>
      </c>
      <c r="C26" s="2" t="s">
        <v>1215</v>
      </c>
      <c r="D26" s="2" t="s">
        <v>1164</v>
      </c>
      <c r="G26" s="2"/>
    </row>
    <row r="27" customFormat="false" ht="15" hidden="false" customHeight="false" outlineLevel="0" collapsed="false">
      <c r="A27" s="2" t="s">
        <v>807</v>
      </c>
      <c r="B27" s="2" t="s">
        <v>1216</v>
      </c>
      <c r="C27" s="2" t="s">
        <v>1217</v>
      </c>
      <c r="D27" s="2" t="s">
        <v>1164</v>
      </c>
      <c r="G27" s="2"/>
    </row>
    <row r="28" customFormat="false" ht="15" hidden="false" customHeight="false" outlineLevel="0" collapsed="false">
      <c r="A28" s="2" t="s">
        <v>1218</v>
      </c>
      <c r="B28" s="2" t="s">
        <v>1219</v>
      </c>
      <c r="C28" s="2" t="s">
        <v>1220</v>
      </c>
      <c r="D28" s="2" t="s">
        <v>1164</v>
      </c>
      <c r="G28" s="2"/>
    </row>
    <row r="29" customFormat="false" ht="15" hidden="false" customHeight="false" outlineLevel="0" collapsed="false">
      <c r="A29" s="2" t="s">
        <v>1218</v>
      </c>
      <c r="B29" s="2" t="s">
        <v>1221</v>
      </c>
      <c r="C29" s="2" t="s">
        <v>1222</v>
      </c>
      <c r="D29" s="2" t="s">
        <v>1164</v>
      </c>
      <c r="G29" s="2"/>
    </row>
    <row r="30" customFormat="false" ht="15" hidden="false" customHeight="false" outlineLevel="0" collapsed="false">
      <c r="A30" s="2" t="s">
        <v>1223</v>
      </c>
      <c r="B30" s="2" t="s">
        <v>1224</v>
      </c>
      <c r="C30" s="2" t="s">
        <v>1225</v>
      </c>
      <c r="D30" s="2" t="s">
        <v>1164</v>
      </c>
      <c r="G30" s="2"/>
    </row>
    <row r="31" customFormat="false" ht="15" hidden="false" customHeight="false" outlineLevel="0" collapsed="false">
      <c r="A31" s="2" t="s">
        <v>1223</v>
      </c>
      <c r="B31" s="2" t="s">
        <v>1226</v>
      </c>
      <c r="C31" s="2" t="s">
        <v>1227</v>
      </c>
      <c r="D31" s="2" t="s">
        <v>1164</v>
      </c>
      <c r="G31" s="2"/>
    </row>
    <row r="32" customFormat="false" ht="15" hidden="false" customHeight="false" outlineLevel="0" collapsed="false">
      <c r="A32" s="2" t="s">
        <v>1223</v>
      </c>
      <c r="B32" s="2" t="s">
        <v>1228</v>
      </c>
      <c r="C32" s="2" t="s">
        <v>1229</v>
      </c>
      <c r="D32" s="2" t="s">
        <v>1164</v>
      </c>
      <c r="G32" s="2"/>
    </row>
    <row r="33" customFormat="false" ht="15" hidden="false" customHeight="false" outlineLevel="0" collapsed="false">
      <c r="A33" s="2" t="s">
        <v>1230</v>
      </c>
      <c r="B33" s="2" t="s">
        <v>1231</v>
      </c>
      <c r="C33" s="2" t="s">
        <v>1232</v>
      </c>
      <c r="D33" s="2" t="s">
        <v>1164</v>
      </c>
      <c r="G33" s="2"/>
    </row>
    <row r="34" customFormat="false" ht="15" hidden="false" customHeight="false" outlineLevel="0" collapsed="false">
      <c r="A34" s="2" t="s">
        <v>1230</v>
      </c>
      <c r="B34" s="2" t="s">
        <v>1233</v>
      </c>
      <c r="C34" s="2" t="s">
        <v>1234</v>
      </c>
      <c r="D34" s="2" t="s">
        <v>1164</v>
      </c>
      <c r="G34" s="2"/>
    </row>
    <row r="35" customFormat="false" ht="15" hidden="false" customHeight="false" outlineLevel="0" collapsed="false">
      <c r="A35" s="2" t="s">
        <v>1230</v>
      </c>
      <c r="B35" s="2" t="s">
        <v>1235</v>
      </c>
      <c r="C35" s="2" t="s">
        <v>1236</v>
      </c>
      <c r="D35" s="2" t="s">
        <v>1164</v>
      </c>
      <c r="G35" s="2"/>
    </row>
    <row r="36" customFormat="false" ht="15" hidden="false" customHeight="false" outlineLevel="0" collapsed="false">
      <c r="A36" s="2" t="s">
        <v>1230</v>
      </c>
      <c r="B36" s="2" t="s">
        <v>1237</v>
      </c>
      <c r="C36" s="2" t="s">
        <v>785</v>
      </c>
      <c r="D36" s="2" t="s">
        <v>1164</v>
      </c>
      <c r="G36" s="2"/>
    </row>
    <row r="37" customFormat="false" ht="15" hidden="false" customHeight="false" outlineLevel="0" collapsed="false">
      <c r="A37" s="2" t="s">
        <v>1230</v>
      </c>
      <c r="B37" s="2" t="s">
        <v>1238</v>
      </c>
      <c r="C37" s="2" t="s">
        <v>1239</v>
      </c>
      <c r="D37" s="2" t="s">
        <v>1164</v>
      </c>
      <c r="G37" s="2"/>
    </row>
    <row r="38" customFormat="false" ht="15" hidden="false" customHeight="false" outlineLevel="0" collapsed="false">
      <c r="A38" s="2" t="s">
        <v>1230</v>
      </c>
      <c r="B38" s="2" t="s">
        <v>1240</v>
      </c>
      <c r="C38" s="2" t="s">
        <v>1241</v>
      </c>
      <c r="D38" s="2" t="s">
        <v>1164</v>
      </c>
      <c r="G38" s="2"/>
    </row>
  </sheetData>
  <autoFilter ref="A2:H502"/>
  <dataValidations count="1">
    <dataValidation allowBlank="true" error="Use the dropdown. Edit lists on the Reference Lists sheet." errorStyle="stop" errorTitle="Pick from list" operator="between" showDropDown="false" showErrorMessage="true" showInputMessage="false" sqref="D3:D502" type="list">
      <formula1>'Reference Lists'!$AE$2:$AE$7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A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  <col collapsed="false" customWidth="true" hidden="false" outlineLevel="0" max="6" min="6" style="0" width="23"/>
    <col collapsed="false" customWidth="true" hidden="false" outlineLevel="0" max="7" min="7" style="0" width="18"/>
    <col collapsed="false" customWidth="true" hidden="false" outlineLevel="0" max="8" min="8" style="0" width="23"/>
    <col collapsed="false" customWidth="true" hidden="false" outlineLevel="0" max="12" min="9" style="0" width="18"/>
    <col collapsed="false" customWidth="true" hidden="false" outlineLevel="0" max="13" min="13" style="0" width="26"/>
    <col collapsed="false" customWidth="true" hidden="false" outlineLevel="0" max="15" min="14" style="0" width="18"/>
    <col collapsed="false" customWidth="true" hidden="false" outlineLevel="0" max="16" min="16" style="0" width="29"/>
    <col collapsed="false" customWidth="true" hidden="false" outlineLevel="0" max="17" min="17" style="0" width="21"/>
    <col collapsed="false" customWidth="true" hidden="false" outlineLevel="0" max="18" min="18" style="0" width="25"/>
    <col collapsed="false" customWidth="true" hidden="false" outlineLevel="0" max="20" min="19" style="0" width="18"/>
    <col collapsed="false" customWidth="true" hidden="false" outlineLevel="0" max="21" min="21" style="0" width="35"/>
    <col collapsed="false" customWidth="true" hidden="false" outlineLevel="0" max="23" min="22" style="0" width="18"/>
    <col collapsed="false" customWidth="true" hidden="false" outlineLevel="0" max="24" min="24" style="0" width="19"/>
    <col collapsed="false" customWidth="true" hidden="false" outlineLevel="0" max="28" min="25" style="0" width="18"/>
    <col collapsed="false" customWidth="true" hidden="false" outlineLevel="0" max="29" min="29" style="0" width="22"/>
    <col collapsed="false" customWidth="true" hidden="false" outlineLevel="0" max="30" min="30" style="0" width="24"/>
    <col collapsed="false" customWidth="true" hidden="false" outlineLevel="0" max="31" min="31" style="0" width="19"/>
    <col collapsed="false" customWidth="true" hidden="false" outlineLevel="0" max="32" min="32" style="0" width="31"/>
    <col collapsed="false" customWidth="true" hidden="false" outlineLevel="0" max="33" min="33" style="0" width="18"/>
    <col collapsed="false" customWidth="true" hidden="false" outlineLevel="0" max="35" min="35" style="0" width="90"/>
  </cols>
  <sheetData>
    <row r="1" customFormat="false" ht="15" hidden="false" customHeight="false" outlineLevel="0" collapsed="false">
      <c r="A1" s="13" t="s">
        <v>1242</v>
      </c>
      <c r="B1" s="13" t="s">
        <v>224</v>
      </c>
      <c r="C1" s="13" t="s">
        <v>1243</v>
      </c>
      <c r="D1" s="13" t="s">
        <v>1244</v>
      </c>
      <c r="E1" s="13" t="s">
        <v>227</v>
      </c>
      <c r="F1" s="13" t="s">
        <v>1245</v>
      </c>
      <c r="G1" s="13" t="s">
        <v>166</v>
      </c>
      <c r="H1" s="13" t="s">
        <v>649</v>
      </c>
      <c r="I1" s="13" t="s">
        <v>716</v>
      </c>
      <c r="J1" s="13" t="s">
        <v>630</v>
      </c>
      <c r="K1" s="13" t="s">
        <v>631</v>
      </c>
      <c r="L1" s="13" t="s">
        <v>1246</v>
      </c>
      <c r="M1" s="13" t="s">
        <v>1247</v>
      </c>
      <c r="N1" s="13" t="s">
        <v>1248</v>
      </c>
      <c r="O1" s="13" t="s">
        <v>489</v>
      </c>
      <c r="P1" s="13" t="s">
        <v>490</v>
      </c>
      <c r="Q1" s="13" t="s">
        <v>1249</v>
      </c>
      <c r="R1" s="13" t="s">
        <v>580</v>
      </c>
      <c r="S1" s="13" t="s">
        <v>1250</v>
      </c>
      <c r="T1" s="13" t="s">
        <v>1251</v>
      </c>
      <c r="U1" s="13" t="s">
        <v>1252</v>
      </c>
      <c r="V1" s="13" t="s">
        <v>1253</v>
      </c>
      <c r="W1" s="13" t="s">
        <v>1254</v>
      </c>
      <c r="X1" s="13" t="s">
        <v>1255</v>
      </c>
      <c r="Y1" s="13" t="s">
        <v>1256</v>
      </c>
      <c r="Z1" s="13" t="s">
        <v>1257</v>
      </c>
      <c r="AA1" s="13" t="s">
        <v>1258</v>
      </c>
      <c r="AB1" s="13" t="s">
        <v>1259</v>
      </c>
      <c r="AC1" s="13" t="s">
        <v>1260</v>
      </c>
      <c r="AD1" s="13" t="s">
        <v>1261</v>
      </c>
      <c r="AE1" s="13" t="s">
        <v>1262</v>
      </c>
      <c r="AF1" s="13" t="s">
        <v>999</v>
      </c>
      <c r="AG1" s="13" t="s">
        <v>1263</v>
      </c>
      <c r="AI1" s="13" t="s">
        <v>1264</v>
      </c>
    </row>
    <row r="2" customFormat="false" ht="23.85" hidden="false" customHeight="false" outlineLevel="0" collapsed="false">
      <c r="A2" s="5" t="s">
        <v>132</v>
      </c>
      <c r="B2" s="5" t="s">
        <v>244</v>
      </c>
      <c r="C2" s="5" t="s">
        <v>245</v>
      </c>
      <c r="D2" s="5" t="s">
        <v>1244</v>
      </c>
      <c r="E2" s="5" t="s">
        <v>247</v>
      </c>
      <c r="F2" s="5" t="s">
        <v>833</v>
      </c>
      <c r="G2" s="5" t="s">
        <v>248</v>
      </c>
      <c r="H2" s="5" t="s">
        <v>259</v>
      </c>
      <c r="I2" s="5" t="s">
        <v>247</v>
      </c>
      <c r="J2" s="5" t="s">
        <v>271</v>
      </c>
      <c r="K2" s="5" t="s">
        <v>271</v>
      </c>
      <c r="L2" s="5" t="s">
        <v>658</v>
      </c>
      <c r="M2" s="5" t="s">
        <v>645</v>
      </c>
      <c r="N2" s="5" t="s">
        <v>378</v>
      </c>
      <c r="O2" s="5" t="s">
        <v>1265</v>
      </c>
      <c r="P2" s="5" t="s">
        <v>509</v>
      </c>
      <c r="Q2" s="5" t="s">
        <v>1266</v>
      </c>
      <c r="R2" s="5" t="s">
        <v>1267</v>
      </c>
      <c r="S2" s="5" t="s">
        <v>596</v>
      </c>
      <c r="T2" s="5" t="s">
        <v>799</v>
      </c>
      <c r="U2" s="5" t="s">
        <v>788</v>
      </c>
      <c r="V2" s="5" t="s">
        <v>1268</v>
      </c>
      <c r="W2" s="5" t="s">
        <v>833</v>
      </c>
      <c r="X2" s="5" t="s">
        <v>139</v>
      </c>
      <c r="Y2" s="5" t="s">
        <v>136</v>
      </c>
      <c r="Z2" s="5" t="s">
        <v>145</v>
      </c>
      <c r="AA2" s="5" t="s">
        <v>1269</v>
      </c>
      <c r="AB2" s="5" t="s">
        <v>1270</v>
      </c>
      <c r="AC2" s="5" t="s">
        <v>1015</v>
      </c>
      <c r="AD2" s="5" t="s">
        <v>1271</v>
      </c>
      <c r="AE2" s="5" t="s">
        <v>1164</v>
      </c>
      <c r="AF2" s="5" t="s">
        <v>1009</v>
      </c>
      <c r="AG2" s="5" t="s">
        <v>1272</v>
      </c>
      <c r="AI2" s="2" t="s">
        <v>1273</v>
      </c>
    </row>
    <row r="3" customFormat="false" ht="23.85" hidden="false" customHeight="false" outlineLevel="0" collapsed="false">
      <c r="A3" s="5" t="s">
        <v>133</v>
      </c>
      <c r="B3" s="5" t="s">
        <v>1274</v>
      </c>
      <c r="C3" s="5" t="s">
        <v>1275</v>
      </c>
      <c r="D3" s="5" t="s">
        <v>1276</v>
      </c>
      <c r="E3" s="5" t="s">
        <v>248</v>
      </c>
      <c r="F3" s="5" t="s">
        <v>97</v>
      </c>
      <c r="G3" s="5" t="s">
        <v>264</v>
      </c>
      <c r="H3" s="5" t="s">
        <v>251</v>
      </c>
      <c r="I3" s="5" t="s">
        <v>248</v>
      </c>
      <c r="J3" s="5" t="s">
        <v>264</v>
      </c>
      <c r="K3" s="5" t="s">
        <v>264</v>
      </c>
      <c r="L3" s="5" t="s">
        <v>645</v>
      </c>
      <c r="M3" s="5" t="s">
        <v>1277</v>
      </c>
      <c r="N3" s="5" t="s">
        <v>1278</v>
      </c>
      <c r="O3" s="5" t="s">
        <v>507</v>
      </c>
      <c r="P3" s="5" t="s">
        <v>1279</v>
      </c>
      <c r="Q3" s="5" t="s">
        <v>511</v>
      </c>
      <c r="R3" s="5" t="s">
        <v>1280</v>
      </c>
      <c r="S3" s="5" t="s">
        <v>591</v>
      </c>
      <c r="T3" s="5" t="s">
        <v>1281</v>
      </c>
      <c r="U3" s="5" t="s">
        <v>1282</v>
      </c>
      <c r="V3" s="5" t="s">
        <v>817</v>
      </c>
      <c r="W3" s="5" t="s">
        <v>1283</v>
      </c>
      <c r="X3" s="5" t="s">
        <v>140</v>
      </c>
      <c r="Y3" s="5" t="s">
        <v>137</v>
      </c>
      <c r="Z3" s="5" t="s">
        <v>146</v>
      </c>
      <c r="AA3" s="5" t="s">
        <v>542</v>
      </c>
      <c r="AB3" s="5" t="s">
        <v>1284</v>
      </c>
      <c r="AC3" s="5" t="s">
        <v>1285</v>
      </c>
      <c r="AD3" s="5" t="s">
        <v>1020</v>
      </c>
      <c r="AE3" s="5" t="s">
        <v>1286</v>
      </c>
      <c r="AF3" s="5" t="s">
        <v>1025</v>
      </c>
      <c r="AG3" s="5" t="s">
        <v>1287</v>
      </c>
      <c r="AI3" s="2" t="s">
        <v>1288</v>
      </c>
    </row>
    <row r="4" customFormat="false" ht="23.85" hidden="false" customHeight="false" outlineLevel="0" collapsed="false">
      <c r="A4" s="5" t="s">
        <v>134</v>
      </c>
      <c r="B4" s="5" t="s">
        <v>171</v>
      </c>
      <c r="C4" s="5" t="s">
        <v>171</v>
      </c>
      <c r="D4" s="5" t="s">
        <v>246</v>
      </c>
      <c r="E4" s="5" t="s">
        <v>264</v>
      </c>
      <c r="F4" s="5" t="s">
        <v>263</v>
      </c>
      <c r="G4" s="5" t="s">
        <v>271</v>
      </c>
      <c r="H4" s="5" t="s">
        <v>266</v>
      </c>
      <c r="I4" s="5" t="s">
        <v>264</v>
      </c>
      <c r="J4" s="5" t="s">
        <v>248</v>
      </c>
      <c r="K4" s="5" t="s">
        <v>248</v>
      </c>
      <c r="L4" s="5" t="s">
        <v>1289</v>
      </c>
      <c r="M4" s="5" t="s">
        <v>1290</v>
      </c>
      <c r="N4" s="5" t="s">
        <v>171</v>
      </c>
      <c r="O4" s="5" t="s">
        <v>1291</v>
      </c>
      <c r="P4" s="5" t="s">
        <v>1292</v>
      </c>
      <c r="Q4" s="5" t="s">
        <v>1293</v>
      </c>
      <c r="R4" s="5" t="s">
        <v>595</v>
      </c>
      <c r="S4" s="5" t="s">
        <v>600</v>
      </c>
      <c r="T4" s="5" t="s">
        <v>1294</v>
      </c>
      <c r="U4" s="5" t="s">
        <v>1295</v>
      </c>
      <c r="V4" s="5" t="s">
        <v>1296</v>
      </c>
      <c r="W4" s="5" t="s">
        <v>1297</v>
      </c>
      <c r="X4" s="5" t="s">
        <v>143</v>
      </c>
      <c r="Y4" s="5" t="s">
        <v>138</v>
      </c>
      <c r="Z4" s="5" t="s">
        <v>144</v>
      </c>
      <c r="AA4" s="5" t="s">
        <v>1298</v>
      </c>
      <c r="AB4" s="5" t="s">
        <v>1299</v>
      </c>
      <c r="AC4" s="5" t="s">
        <v>1300</v>
      </c>
      <c r="AD4" s="5" t="s">
        <v>1014</v>
      </c>
      <c r="AE4" s="5" t="s">
        <v>1301</v>
      </c>
      <c r="AF4" s="5" t="s">
        <v>1047</v>
      </c>
      <c r="AG4" s="5" t="s">
        <v>1302</v>
      </c>
      <c r="AI4" s="2" t="s">
        <v>1303</v>
      </c>
    </row>
    <row r="5" customFormat="false" ht="23.85" hidden="false" customHeight="false" outlineLevel="0" collapsed="false">
      <c r="A5" s="5" t="s">
        <v>135</v>
      </c>
      <c r="B5" s="5" t="s">
        <v>1304</v>
      </c>
      <c r="D5" s="5" t="s">
        <v>171</v>
      </c>
      <c r="E5" s="5" t="s">
        <v>271</v>
      </c>
      <c r="F5" s="5" t="s">
        <v>98</v>
      </c>
      <c r="G5" s="5" t="s">
        <v>171</v>
      </c>
      <c r="H5" s="5" t="s">
        <v>887</v>
      </c>
      <c r="I5" s="5" t="s">
        <v>271</v>
      </c>
      <c r="K5" s="5" t="s">
        <v>247</v>
      </c>
      <c r="L5" s="5" t="s">
        <v>1305</v>
      </c>
      <c r="M5" s="5" t="s">
        <v>1306</v>
      </c>
      <c r="O5" s="5" t="s">
        <v>171</v>
      </c>
      <c r="P5" s="5" t="s">
        <v>496</v>
      </c>
      <c r="Q5" s="5" t="s">
        <v>1307</v>
      </c>
      <c r="R5" s="5" t="s">
        <v>1308</v>
      </c>
      <c r="S5" s="5" t="s">
        <v>54</v>
      </c>
      <c r="T5" s="5" t="s">
        <v>1309</v>
      </c>
      <c r="V5" s="5" t="s">
        <v>1310</v>
      </c>
      <c r="W5" s="5" t="s">
        <v>1311</v>
      </c>
      <c r="X5" s="5" t="s">
        <v>142</v>
      </c>
      <c r="Y5" s="5" t="s">
        <v>1312</v>
      </c>
      <c r="AA5" s="5" t="s">
        <v>1313</v>
      </c>
      <c r="AB5" s="5" t="s">
        <v>1314</v>
      </c>
      <c r="AC5" s="5" t="s">
        <v>1315</v>
      </c>
      <c r="AD5" s="5" t="s">
        <v>1316</v>
      </c>
      <c r="AE5" s="5" t="s">
        <v>1317</v>
      </c>
      <c r="AF5" s="5" t="s">
        <v>1070</v>
      </c>
      <c r="AG5" s="5" t="s">
        <v>171</v>
      </c>
      <c r="AI5" s="2" t="s">
        <v>1318</v>
      </c>
    </row>
    <row r="6" customFormat="false" ht="23.85" hidden="false" customHeight="false" outlineLevel="0" collapsed="false">
      <c r="A6" s="5" t="s">
        <v>136</v>
      </c>
      <c r="B6" s="5" t="s">
        <v>1285</v>
      </c>
      <c r="E6" s="5" t="s">
        <v>171</v>
      </c>
      <c r="F6" s="5" t="s">
        <v>1319</v>
      </c>
      <c r="H6" s="5" t="s">
        <v>992</v>
      </c>
      <c r="L6" s="5" t="s">
        <v>1320</v>
      </c>
      <c r="M6" s="5" t="s">
        <v>1321</v>
      </c>
      <c r="P6" s="5" t="s">
        <v>1322</v>
      </c>
      <c r="Q6" s="5" t="s">
        <v>1323</v>
      </c>
      <c r="R6" s="5" t="s">
        <v>1324</v>
      </c>
      <c r="S6" s="5" t="s">
        <v>1325</v>
      </c>
      <c r="T6" s="5" t="s">
        <v>1326</v>
      </c>
      <c r="V6" s="5" t="s">
        <v>1327</v>
      </c>
      <c r="W6" s="5" t="s">
        <v>1328</v>
      </c>
      <c r="X6" s="5" t="s">
        <v>1329</v>
      </c>
      <c r="Y6" s="5" t="s">
        <v>1330</v>
      </c>
      <c r="AA6" s="5" t="s">
        <v>1331</v>
      </c>
      <c r="AB6" s="5" t="s">
        <v>375</v>
      </c>
      <c r="AC6" s="5" t="s">
        <v>1332</v>
      </c>
      <c r="AE6" s="5" t="s">
        <v>1333</v>
      </c>
      <c r="AI6" s="2" t="s">
        <v>1334</v>
      </c>
    </row>
    <row r="7" customFormat="false" ht="23.85" hidden="false" customHeight="false" outlineLevel="0" collapsed="false">
      <c r="A7" s="5" t="s">
        <v>137</v>
      </c>
      <c r="F7" s="5" t="s">
        <v>1335</v>
      </c>
      <c r="M7" s="5" t="s">
        <v>1336</v>
      </c>
      <c r="P7" s="5" t="s">
        <v>1337</v>
      </c>
      <c r="Q7" s="5" t="s">
        <v>454</v>
      </c>
      <c r="R7" s="5" t="s">
        <v>599</v>
      </c>
      <c r="S7" s="5" t="s">
        <v>153</v>
      </c>
      <c r="X7" s="5" t="s">
        <v>1338</v>
      </c>
      <c r="Y7" s="5" t="s">
        <v>161</v>
      </c>
      <c r="AA7" s="5" t="s">
        <v>1339</v>
      </c>
      <c r="AB7" s="5" t="s">
        <v>1340</v>
      </c>
      <c r="AC7" s="5" t="s">
        <v>1341</v>
      </c>
      <c r="AE7" s="5" t="s">
        <v>1342</v>
      </c>
      <c r="AI7" s="2" t="s">
        <v>1343</v>
      </c>
    </row>
    <row r="8" customFormat="false" ht="23.85" hidden="false" customHeight="false" outlineLevel="0" collapsed="false">
      <c r="A8" s="5" t="s">
        <v>138</v>
      </c>
      <c r="P8" s="5" t="s">
        <v>1344</v>
      </c>
      <c r="Q8" s="5" t="s">
        <v>171</v>
      </c>
      <c r="R8" s="5" t="s">
        <v>590</v>
      </c>
      <c r="S8" s="5" t="s">
        <v>609</v>
      </c>
      <c r="X8" s="5" t="s">
        <v>1345</v>
      </c>
      <c r="AA8" s="5" t="s">
        <v>1346</v>
      </c>
      <c r="AB8" s="5" t="s">
        <v>1347</v>
      </c>
      <c r="AI8" s="2" t="s">
        <v>1348</v>
      </c>
    </row>
    <row r="9" customFormat="false" ht="15" hidden="false" customHeight="false" outlineLevel="0" collapsed="false">
      <c r="A9" s="5" t="s">
        <v>139</v>
      </c>
      <c r="P9" s="5" t="s">
        <v>1349</v>
      </c>
      <c r="R9" s="5" t="s">
        <v>593</v>
      </c>
      <c r="S9" s="5" t="s">
        <v>1114</v>
      </c>
      <c r="X9" s="5" t="s">
        <v>1350</v>
      </c>
      <c r="AB9" s="5" t="s">
        <v>774</v>
      </c>
    </row>
    <row r="10" customFormat="false" ht="15" hidden="false" customHeight="false" outlineLevel="0" collapsed="false">
      <c r="A10" s="5" t="s">
        <v>140</v>
      </c>
      <c r="P10" s="5" t="s">
        <v>1351</v>
      </c>
      <c r="R10" s="5" t="s">
        <v>1352</v>
      </c>
      <c r="S10" s="5" t="s">
        <v>151</v>
      </c>
      <c r="X10" s="5" t="s">
        <v>1353</v>
      </c>
      <c r="AB10" s="5" t="s">
        <v>1354</v>
      </c>
    </row>
    <row r="11" customFormat="false" ht="15" hidden="false" customHeight="false" outlineLevel="0" collapsed="false">
      <c r="A11" s="5" t="s">
        <v>141</v>
      </c>
      <c r="P11" s="5" t="s">
        <v>161</v>
      </c>
      <c r="R11" s="5" t="s">
        <v>1355</v>
      </c>
      <c r="S11" s="5" t="s">
        <v>161</v>
      </c>
      <c r="X11" s="5" t="s">
        <v>1356</v>
      </c>
      <c r="AB11" s="5" t="s">
        <v>1357</v>
      </c>
    </row>
    <row r="12" customFormat="false" ht="15" hidden="false" customHeight="false" outlineLevel="0" collapsed="false">
      <c r="A12" s="5" t="s">
        <v>142</v>
      </c>
      <c r="P12" s="5" t="s">
        <v>171</v>
      </c>
      <c r="R12" s="5" t="s">
        <v>603</v>
      </c>
      <c r="X12" s="5" t="s">
        <v>523</v>
      </c>
      <c r="AB12" s="5" t="s">
        <v>1358</v>
      </c>
    </row>
    <row r="13" customFormat="false" ht="15" hidden="false" customHeight="false" outlineLevel="0" collapsed="false">
      <c r="A13" s="5" t="s">
        <v>143</v>
      </c>
      <c r="R13" s="5" t="s">
        <v>605</v>
      </c>
      <c r="X13" s="5" t="s">
        <v>161</v>
      </c>
      <c r="AB13" s="5" t="s">
        <v>161</v>
      </c>
    </row>
    <row r="14" customFormat="false" ht="15" hidden="false" customHeight="false" outlineLevel="0" collapsed="false">
      <c r="A14" s="5" t="s">
        <v>144</v>
      </c>
      <c r="R14" s="5" t="s">
        <v>1359</v>
      </c>
    </row>
    <row r="15" customFormat="false" ht="15" hidden="false" customHeight="false" outlineLevel="0" collapsed="false">
      <c r="A15" s="5" t="s">
        <v>145</v>
      </c>
      <c r="R15" s="5" t="s">
        <v>1360</v>
      </c>
    </row>
    <row r="16" customFormat="false" ht="15" hidden="false" customHeight="false" outlineLevel="0" collapsed="false">
      <c r="A16" s="5" t="s">
        <v>146</v>
      </c>
      <c r="R16" s="5" t="s">
        <v>1361</v>
      </c>
    </row>
    <row r="17" customFormat="false" ht="15" hidden="false" customHeight="false" outlineLevel="0" collapsed="false">
      <c r="A17" s="5" t="s">
        <v>147</v>
      </c>
      <c r="R17" s="5" t="s">
        <v>1362</v>
      </c>
    </row>
    <row r="18" customFormat="false" ht="15" hidden="false" customHeight="false" outlineLevel="0" collapsed="false">
      <c r="A18" s="5" t="s">
        <v>148</v>
      </c>
      <c r="R18" s="5" t="s">
        <v>1363</v>
      </c>
    </row>
    <row r="19" customFormat="false" ht="15" hidden="false" customHeight="false" outlineLevel="0" collapsed="false">
      <c r="A19" s="5" t="s">
        <v>149</v>
      </c>
      <c r="R19" s="5" t="s">
        <v>1364</v>
      </c>
    </row>
    <row r="20" customFormat="false" ht="15" hidden="false" customHeight="false" outlineLevel="0" collapsed="false">
      <c r="A20" s="5" t="s">
        <v>150</v>
      </c>
      <c r="R20" s="5" t="s">
        <v>608</v>
      </c>
    </row>
    <row r="21" customFormat="false" ht="15" hidden="false" customHeight="false" outlineLevel="0" collapsed="false">
      <c r="A21" s="5" t="s">
        <v>151</v>
      </c>
      <c r="R21" s="5" t="s">
        <v>1365</v>
      </c>
    </row>
    <row r="22" customFormat="false" ht="15" hidden="false" customHeight="false" outlineLevel="0" collapsed="false">
      <c r="A22" s="5" t="s">
        <v>152</v>
      </c>
      <c r="R22" s="5" t="s">
        <v>1366</v>
      </c>
    </row>
    <row r="23" customFormat="false" ht="15" hidden="false" customHeight="false" outlineLevel="0" collapsed="false">
      <c r="A23" s="5" t="s">
        <v>153</v>
      </c>
      <c r="R23" s="5" t="s">
        <v>1367</v>
      </c>
    </row>
    <row r="24" customFormat="false" ht="15" hidden="false" customHeight="false" outlineLevel="0" collapsed="false">
      <c r="A24" s="5" t="s">
        <v>154</v>
      </c>
      <c r="R24" s="5" t="s">
        <v>1346</v>
      </c>
    </row>
    <row r="25" customFormat="false" ht="15" hidden="false" customHeight="false" outlineLevel="0" collapsed="false">
      <c r="A25" s="5" t="s">
        <v>155</v>
      </c>
    </row>
    <row r="26" customFormat="false" ht="15" hidden="false" customHeight="false" outlineLevel="0" collapsed="false">
      <c r="A26" s="5" t="s">
        <v>156</v>
      </c>
    </row>
    <row r="27" customFormat="false" ht="15" hidden="false" customHeight="false" outlineLevel="0" collapsed="false">
      <c r="A27" s="5" t="s">
        <v>157</v>
      </c>
    </row>
    <row r="28" customFormat="false" ht="15" hidden="false" customHeight="false" outlineLevel="0" collapsed="false">
      <c r="A28" s="5" t="s">
        <v>40</v>
      </c>
    </row>
    <row r="29" customFormat="false" ht="15" hidden="false" customHeight="false" outlineLevel="0" collapsed="false">
      <c r="A29" s="5" t="s">
        <v>158</v>
      </c>
    </row>
    <row r="30" customFormat="false" ht="15" hidden="false" customHeight="false" outlineLevel="0" collapsed="false">
      <c r="A30" s="5" t="s">
        <v>159</v>
      </c>
    </row>
    <row r="31" customFormat="false" ht="15" hidden="false" customHeight="false" outlineLevel="0" collapsed="false">
      <c r="A31" s="5" t="s">
        <v>160</v>
      </c>
    </row>
    <row r="32" customFormat="false" ht="15" hidden="false" customHeight="false" outlineLevel="0" collapsed="false">
      <c r="A32" s="5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2026-10-08T02:02:15Z</dcterms:created>
  <dc:creator>openpyxl</dc:creator>
  <dc:description/>
  <dc:language>en-US</dc:language>
  <cp:lastModifiedBy/>
  <dcterms:modified xsi:type="dcterms:W3CDTF">2026-10-08T02:02:15Z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